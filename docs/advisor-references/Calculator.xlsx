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esentation"/>
    <sheet r:id="rId2" sheetId="2" name="Prem v Self"/>
  </sheets>
  <definedNames>
    <definedName name="_xlnm.Print_Area" localSheetId="1">'Prem v Self'!$A$2:$R$82</definedName>
    <definedName name="_xlnm.Print_Area" localSheetId="0">Presentation!$A$1:$J$53</definedName>
  </definedNames>
  <calcPr fullCalcOnLoad="1"/>
</workbook>
</file>

<file path=xl/sharedStrings.xml><?xml version="1.0" encoding="utf-8"?>
<sst xmlns="http://schemas.openxmlformats.org/spreadsheetml/2006/main" count="73" uniqueCount="34">
  <si>
    <t>Month</t>
  </si>
  <si>
    <t>Mo/$</t>
  </si>
  <si>
    <t>Mo/Ret</t>
  </si>
  <si>
    <t>Investment</t>
  </si>
  <si>
    <t>Mo</t>
  </si>
  <si>
    <t>Benefit</t>
  </si>
  <si>
    <t>Monthly Premium</t>
  </si>
  <si>
    <t>Monthly Benefit</t>
  </si>
  <si>
    <t>Rate of Return</t>
  </si>
  <si>
    <t>Months without an Income</t>
  </si>
  <si>
    <t>Benefits Received</t>
  </si>
  <si>
    <t>What Month would you breakeven?</t>
  </si>
  <si>
    <t>Number of years you need to self insure</t>
  </si>
  <si>
    <t>Which Job Would You Rather Have?</t>
  </si>
  <si>
    <t>Income</t>
  </si>
  <si>
    <t>Group DI</t>
  </si>
  <si>
    <t>Group DI After Tax</t>
  </si>
  <si>
    <t>With IDI</t>
  </si>
  <si>
    <t>Tax Brackets</t>
  </si>
  <si>
    <t>Job A</t>
  </si>
  <si>
    <t>Job B</t>
  </si>
  <si>
    <t>Income While Working</t>
  </si>
  <si>
    <t>Group %</t>
  </si>
  <si>
    <t>Cap</t>
  </si>
  <si>
    <t>Taxable</t>
  </si>
  <si>
    <t>Income While Disabled</t>
  </si>
  <si>
    <t>What's YOUR Income Gap?</t>
  </si>
  <si>
    <t>Salary</t>
  </si>
  <si>
    <t>Bonus</t>
  </si>
  <si>
    <t>Gross Income</t>
  </si>
  <si>
    <t>Tax Bracket</t>
  </si>
  <si>
    <t>Net Income</t>
  </si>
  <si>
    <t>Income GAP</t>
  </si>
  <si>
    <t>Why Use Insurance?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</si>
</sst>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$#,##0_);($#,##0)"/>
    <numFmt numFmtId="165" formatCode="#,##0%"/>
    <numFmt numFmtId="166" formatCode="#,##0.00%"/>
    <numFmt numFmtId="167" formatCode="$#,##0.0_);($#,##0.0)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2"/>
      <color theme="1"/>
      <name val="Arial"/>
      <family val="2"/>
    </font>
    <font>
      <sz val="10"/>
      <color theme="1"/>
      <name val="Arial"/>
      <family val="2"/>
    </font>
    <font>
      <sz val="28"/>
      <color theme="1"/>
      <name val="Arial"/>
      <family val="2"/>
    </font>
    <font>
      <sz val="18"/>
      <color theme="1"/>
      <name val="Arial"/>
      <family val="2"/>
    </font>
    <font>
      <sz val="11"/>
      <color rgb="FFff0000"/>
      <name val="Calibri"/>
      <family val="2"/>
    </font>
    <font>
      <sz val="2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beef4"/>
      </patternFill>
    </fill>
    <fill>
      <patternFill patternType="solid">
        <fgColor rgb="FFfdeada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ebf1de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7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7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7" applyNumberFormat="1" borderId="1" applyBorder="1" fontId="2" applyFont="1" fillId="2" applyFill="1" applyAlignment="1">
      <alignment horizontal="left"/>
    </xf>
    <xf xfId="0" numFmtId="1" applyNumberFormat="1" borderId="1" applyBorder="1" fontId="2" applyFont="1" fillId="3" applyFill="1" applyAlignment="1">
      <alignment horizontal="left"/>
    </xf>
    <xf xfId="0" numFmtId="7" applyNumberFormat="1" borderId="1" applyBorder="1" fontId="2" applyFont="1" fillId="3" applyFill="1" applyAlignment="1">
      <alignment horizontal="left"/>
    </xf>
    <xf xfId="0" numFmtId="7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2" applyFill="1" applyAlignment="1">
      <alignment horizontal="right"/>
    </xf>
    <xf xfId="0" numFmtId="4" applyNumberFormat="1" borderId="1" applyBorder="1" fontId="1" applyFont="1" fillId="2" applyFill="1" applyAlignment="1">
      <alignment horizontal="right"/>
    </xf>
    <xf xfId="0" numFmtId="7" applyNumberFormat="1" borderId="1" applyBorder="1" fontId="2" applyFont="1" fillId="2" applyFill="1" applyAlignment="1">
      <alignment horizontal="right"/>
    </xf>
    <xf xfId="0" numFmtId="1" applyNumberFormat="1" borderId="1" applyBorder="1" fontId="2" applyFont="1" fillId="3" applyFill="1" applyAlignment="1">
      <alignment horizontal="right"/>
    </xf>
    <xf xfId="0" numFmtId="7" applyNumberFormat="1" borderId="1" applyBorder="1" fontId="2" applyFont="1" fillId="3" applyFill="1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4" applyFill="1" applyAlignment="1">
      <alignment horizontal="right"/>
    </xf>
    <xf xfId="0" numFmtId="0" borderId="1" applyBorder="1" fontId="1" applyFont="1" fillId="4" applyFill="1" applyAlignment="1">
      <alignment horizontal="left"/>
    </xf>
    <xf xfId="0" numFmtId="1" applyNumberFormat="1" borderId="1" applyBorder="1" fontId="1" applyFont="1" fillId="5" applyFill="1" applyAlignment="1">
      <alignment horizontal="right"/>
    </xf>
    <xf xfId="0" numFmtId="0" borderId="2" applyBorder="1" fontId="1" applyFont="1" fillId="5" applyFill="1" applyAlignment="1">
      <alignment horizontal="left"/>
    </xf>
    <xf xfId="0" numFmtId="0" borderId="3" applyBorder="1" fontId="1" applyFont="1" fillId="5" applyFill="1" applyAlignment="1">
      <alignment horizontal="left"/>
    </xf>
    <xf xfId="0" numFmtId="4" applyNumberFormat="1" borderId="1" applyBorder="1" fontId="1" applyFont="1" fillId="5" applyFill="1" applyAlignment="1">
      <alignment horizontal="right"/>
    </xf>
    <xf xfId="0" numFmtId="0" borderId="4" applyBorder="1" fontId="1" applyFont="1" fillId="5" applyFill="1" applyAlignment="1">
      <alignment horizontal="left"/>
    </xf>
    <xf xfId="0" numFmtId="0" borderId="5" applyBorder="1" fontId="1" applyFont="1" fillId="5" applyFill="1" applyAlignment="1">
      <alignment horizontal="left"/>
    </xf>
    <xf xfId="0" numFmtId="7" applyNumberFormat="1" borderId="6" applyBorder="1" fontId="2" applyFont="1" fillId="0" applyAlignment="1">
      <alignment horizontal="right"/>
    </xf>
    <xf xfId="0" numFmtId="7" applyNumberFormat="1" borderId="6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7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7" applyBorder="1" fontId="3" applyFont="1" fillId="0" applyAlignment="1">
      <alignment horizontal="center" vertical="top"/>
    </xf>
    <xf xfId="0" numFmtId="0" borderId="8" applyBorder="1" fontId="3" applyFont="1" fillId="0" applyAlignment="1">
      <alignment horizontal="center"/>
    </xf>
    <xf xfId="0" numFmtId="4" applyNumberFormat="1" borderId="8" applyBorder="1" fontId="3" applyFont="1" fillId="0" applyAlignment="1">
      <alignment horizontal="center"/>
    </xf>
    <xf xfId="0" numFmtId="0" borderId="9" applyBorder="1" fontId="3" applyFont="1" fillId="0" applyAlignment="1">
      <alignment horizontal="center"/>
    </xf>
    <xf xfId="0" numFmtId="164" applyNumberFormat="1" borderId="0" fontId="0" fillId="0" applyAlignment="1">
      <alignment horizontal="general"/>
    </xf>
    <xf xfId="0" numFmtId="0" borderId="6" applyBorder="1" fontId="4" applyFont="1" fillId="0" applyAlignment="1">
      <alignment horizontal="left"/>
    </xf>
    <xf xfId="0" numFmtId="166" applyNumberFormat="1" borderId="6" applyBorder="1" fontId="4" applyFont="1" fillId="0" applyAlignment="1">
      <alignment horizontal="center"/>
    </xf>
    <xf xfId="0" numFmtId="3" applyNumberFormat="1" borderId="6" applyBorder="1" fontId="2" applyFont="1" fillId="0" applyAlignment="1">
      <alignment horizontal="center"/>
    </xf>
    <xf xfId="0" numFmtId="0" borderId="6" applyBorder="1" fontId="2" applyFont="1" fillId="0" applyAlignment="1">
      <alignment horizontal="center"/>
    </xf>
    <xf xfId="0" numFmtId="0" borderId="10" applyBorder="1" fontId="3" applyFont="1" fillId="0" applyAlignment="1">
      <alignment horizontal="center"/>
    </xf>
    <xf xfId="0" numFmtId="0" borderId="6" applyBorder="1" fontId="3" applyFont="1" fillId="0" applyAlignment="1">
      <alignment horizontal="center"/>
    </xf>
    <xf xfId="0" numFmtId="4" applyNumberFormat="1" borderId="6" applyBorder="1" fontId="3" applyFont="1" fillId="0" applyAlignment="1">
      <alignment horizontal="center"/>
    </xf>
    <xf xfId="0" numFmtId="0" borderId="11" applyBorder="1" fontId="3" applyFont="1" fillId="0" applyAlignment="1">
      <alignment horizontal="center"/>
    </xf>
    <xf xfId="0" numFmtId="0" borderId="6" applyBorder="1" fontId="2" applyFont="1" fillId="0" applyAlignment="1">
      <alignment horizontal="left"/>
    </xf>
    <xf xfId="0" numFmtId="164" applyNumberFormat="1" borderId="6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65" applyNumberFormat="1" borderId="6" applyBorder="1" fontId="2" applyFont="1" fillId="0" applyAlignment="1">
      <alignment horizontal="right"/>
    </xf>
    <xf xfId="0" numFmtId="3" applyNumberFormat="1" borderId="6" applyBorder="1" fontId="2" applyFont="1" fillId="0" applyAlignment="1">
      <alignment horizontal="right"/>
    </xf>
    <xf xfId="0" numFmtId="0" borderId="6" applyBorder="1" fontId="2" applyFont="1" fillId="0" applyAlignment="1">
      <alignment horizontal="center" vertical="top"/>
    </xf>
    <xf xfId="0" numFmtId="0" borderId="12" applyBorder="1" fontId="5" applyFont="1" fillId="3" applyFill="1" applyAlignment="1">
      <alignment horizontal="center" vertical="top"/>
    </xf>
    <xf xfId="0" numFmtId="0" borderId="13" applyBorder="1" fontId="5" applyFont="1" fillId="3" applyFill="1" applyAlignment="1">
      <alignment horizontal="center"/>
    </xf>
    <xf xfId="0" numFmtId="0" borderId="14" applyBorder="1" fontId="5" applyFont="1" fillId="3" applyFill="1" applyAlignment="1">
      <alignment horizontal="center"/>
    </xf>
    <xf xfId="0" numFmtId="0" borderId="15" applyBorder="1" fontId="5" applyFont="1" fillId="6" applyFill="1" applyAlignment="1">
      <alignment horizontal="center" vertical="top"/>
    </xf>
    <xf xfId="0" numFmtId="0" borderId="13" applyBorder="1" fontId="5" applyFont="1" fillId="6" applyFill="1" applyAlignment="1">
      <alignment horizontal="center"/>
    </xf>
    <xf xfId="0" numFmtId="4" applyNumberFormat="1" borderId="13" applyBorder="1" fontId="5" applyFont="1" fillId="6" applyFill="1" applyAlignment="1">
      <alignment horizontal="center"/>
    </xf>
    <xf xfId="0" numFmtId="0" borderId="16" applyBorder="1" fontId="5" applyFont="1" fillId="6" applyFill="1" applyAlignment="1">
      <alignment horizontal="center"/>
    </xf>
    <xf xfId="0" numFmtId="164" applyNumberFormat="1" borderId="6" applyBorder="1" fontId="2" applyFont="1" fillId="0" applyAlignment="1">
      <alignment horizontal="right"/>
    </xf>
    <xf xfId="0" numFmtId="0" borderId="17" applyBorder="1" fontId="5" applyFont="1" fillId="3" applyFill="1" applyAlignment="1">
      <alignment horizontal="center"/>
    </xf>
    <xf xfId="0" numFmtId="0" borderId="18" applyBorder="1" fontId="5" applyFont="1" fillId="3" applyFill="1" applyAlignment="1">
      <alignment horizontal="center"/>
    </xf>
    <xf xfId="0" numFmtId="0" borderId="19" applyBorder="1" fontId="5" applyFont="1" fillId="3" applyFill="1" applyAlignment="1">
      <alignment horizontal="center"/>
    </xf>
    <xf xfId="0" numFmtId="0" borderId="20" applyBorder="1" fontId="5" applyFont="1" fillId="6" applyFill="1" applyAlignment="1">
      <alignment horizontal="center"/>
    </xf>
    <xf xfId="0" numFmtId="0" borderId="18" applyBorder="1" fontId="5" applyFont="1" fillId="6" applyFill="1" applyAlignment="1">
      <alignment horizontal="center"/>
    </xf>
    <xf xfId="0" numFmtId="4" applyNumberFormat="1" borderId="18" applyBorder="1" fontId="5" applyFont="1" fillId="6" applyFill="1" applyAlignment="1">
      <alignment horizontal="center"/>
    </xf>
    <xf xfId="0" numFmtId="0" borderId="21" applyBorder="1" fontId="5" applyFont="1" fillId="6" applyFill="1" applyAlignment="1">
      <alignment horizontal="center"/>
    </xf>
    <xf xfId="0" numFmtId="0" borderId="22" applyBorder="1" fontId="5" applyFont="1" fillId="3" applyFill="1" applyAlignment="1">
      <alignment horizontal="center"/>
    </xf>
    <xf xfId="0" numFmtId="0" borderId="23" applyBorder="1" fontId="5" applyFont="1" fillId="3" applyFill="1" applyAlignment="1">
      <alignment horizontal="center"/>
    </xf>
    <xf xfId="0" numFmtId="0" borderId="24" applyBorder="1" fontId="5" applyFont="1" fillId="3" applyFill="1" applyAlignment="1">
      <alignment horizontal="center"/>
    </xf>
    <xf xfId="0" numFmtId="0" borderId="25" applyBorder="1" fontId="5" applyFont="1" fillId="6" applyFill="1" applyAlignment="1">
      <alignment horizontal="center"/>
    </xf>
    <xf xfId="0" numFmtId="0" borderId="23" applyBorder="1" fontId="5" applyFont="1" fillId="6" applyFill="1" applyAlignment="1">
      <alignment horizontal="center"/>
    </xf>
    <xf xfId="0" numFmtId="4" applyNumberFormat="1" borderId="23" applyBorder="1" fontId="5" applyFont="1" fillId="6" applyFill="1" applyAlignment="1">
      <alignment horizontal="center"/>
    </xf>
    <xf xfId="0" numFmtId="0" borderId="26" applyBorder="1" fontId="5" applyFont="1" fillId="6" applyFill="1" applyAlignment="1">
      <alignment horizontal="center"/>
    </xf>
    <xf xfId="0" numFmtId="0" borderId="27" applyBorder="1" fontId="6" applyFont="1" fillId="0" applyAlignment="1">
      <alignment horizontal="center" vertical="top"/>
    </xf>
    <xf xfId="0" numFmtId="0" borderId="27" applyBorder="1" fontId="6" applyFont="1" fillId="0" applyAlignment="1">
      <alignment horizontal="center"/>
    </xf>
    <xf xfId="0" numFmtId="0" borderId="10" applyBorder="1" fontId="6" applyFont="1" fillId="0" applyAlignment="1">
      <alignment horizontal="center" vertical="top"/>
    </xf>
    <xf xfId="0" numFmtId="0" borderId="6" applyBorder="1" fontId="6" applyFont="1" fillId="0" applyAlignment="1">
      <alignment horizontal="center"/>
    </xf>
    <xf xfId="0" numFmtId="4" applyNumberFormat="1" borderId="6" applyBorder="1" fontId="6" applyFont="1" fillId="0" applyAlignment="1">
      <alignment horizontal="center"/>
    </xf>
    <xf xfId="0" numFmtId="0" borderId="11" applyBorder="1" fontId="6" applyFont="1" fillId="0" applyAlignment="1">
      <alignment horizontal="center"/>
    </xf>
    <xf xfId="0" numFmtId="0" borderId="10" applyBorder="1" fontId="6" applyFont="1" fillId="0" applyAlignment="1">
      <alignment horizontal="center"/>
    </xf>
    <xf xfId="0" numFmtId="0" borderId="18" applyBorder="1" fontId="2" applyFont="1" fillId="5" applyFill="1" applyAlignment="1">
      <alignment horizontal="left"/>
    </xf>
    <xf xfId="0" numFmtId="164" applyNumberFormat="1" borderId="1" applyBorder="1" fontId="2" applyFont="1" fillId="0" applyAlignment="1">
      <alignment horizontal="center"/>
    </xf>
    <xf xfId="0" numFmtId="166" applyNumberFormat="1" borderId="6" applyBorder="1" fontId="2" applyFont="1" fillId="0" applyAlignment="1">
      <alignment horizontal="right"/>
    </xf>
    <xf xfId="0" numFmtId="0" borderId="10" applyBorder="1" fontId="6" applyFont="1" fillId="0" applyAlignment="1">
      <alignment horizontal="center" vertical="top"/>
    </xf>
    <xf xfId="0" numFmtId="164" applyNumberFormat="1" borderId="6" applyBorder="1" fontId="6" applyFont="1" fillId="0" applyAlignment="1">
      <alignment horizontal="center"/>
    </xf>
    <xf xfId="0" numFmtId="164" applyNumberFormat="1" borderId="11" applyBorder="1" fontId="6" applyFont="1" fillId="0" applyAlignment="1">
      <alignment horizontal="center"/>
    </xf>
    <xf xfId="0" numFmtId="166" applyNumberFormat="1" borderId="0" fontId="0" fillId="0" applyAlignment="1">
      <alignment horizontal="general"/>
    </xf>
    <xf xfId="0" numFmtId="164" applyNumberFormat="1" borderId="10" applyBorder="1" fontId="6" applyFont="1" fillId="0" applyAlignment="1">
      <alignment horizontal="center"/>
    </xf>
    <xf xfId="0" numFmtId="164" applyNumberFormat="1" borderId="28" applyBorder="1" fontId="6" applyFont="1" fillId="0" applyAlignment="1">
      <alignment horizontal="center"/>
    </xf>
    <xf xfId="0" numFmtId="164" applyNumberFormat="1" borderId="29" applyBorder="1" fontId="6" applyFont="1" fillId="0" applyAlignment="1">
      <alignment horizontal="center"/>
    </xf>
    <xf xfId="0" numFmtId="164" applyNumberFormat="1" borderId="30" applyBorder="1" fontId="6" applyFont="1" fillId="0" applyAlignment="1">
      <alignment horizontal="center"/>
    </xf>
    <xf xfId="0" numFmtId="0" borderId="7" applyBorder="1" fontId="6" applyFont="1" fillId="0" applyAlignment="1">
      <alignment horizontal="center" vertical="top"/>
    </xf>
    <xf xfId="0" numFmtId="0" borderId="8" applyBorder="1" fontId="6" applyFont="1" fillId="0" applyAlignment="1">
      <alignment horizontal="center"/>
    </xf>
    <xf xfId="0" numFmtId="0" borderId="9" applyBorder="1" fontId="6" applyFont="1" fillId="0" applyAlignment="1">
      <alignment horizontal="center"/>
    </xf>
    <xf xfId="0" numFmtId="4" applyNumberFormat="1" borderId="8" applyBorder="1" fontId="6" applyFont="1" fillId="0" applyAlignment="1">
      <alignment horizontal="center"/>
    </xf>
    <xf xfId="0" numFmtId="167" applyNumberFormat="1" borderId="6" applyBorder="1" fontId="2" applyFont="1" fillId="0" applyAlignment="1">
      <alignment horizontal="right"/>
    </xf>
    <xf xfId="0" numFmtId="0" borderId="10" applyBorder="1" fontId="2" applyFont="1" fillId="0" applyAlignment="1">
      <alignment horizontal="left"/>
    </xf>
    <xf xfId="0" numFmtId="0" borderId="11" applyBorder="1" fontId="2" applyFont="1" fillId="0" applyAlignment="1">
      <alignment horizontal="left"/>
    </xf>
    <xf xfId="0" numFmtId="164" applyNumberFormat="1" borderId="6" applyBorder="1" fontId="7" applyFont="1" fillId="0" applyAlignment="1">
      <alignment horizontal="left"/>
    </xf>
    <xf xfId="0" numFmtId="0" borderId="6" applyBorder="1" fontId="3" applyFont="1" fillId="0" applyAlignment="1">
      <alignment horizontal="center" vertical="top"/>
    </xf>
    <xf xfId="0" numFmtId="0" borderId="1" applyBorder="1" fontId="1" applyFont="1" fillId="2" applyFill="1" applyAlignment="1">
      <alignment horizontal="center"/>
    </xf>
    <xf xfId="0" numFmtId="7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165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6" applyBorder="1" fontId="1" applyFont="1" fillId="0" applyAlignment="1">
      <alignment horizontal="left"/>
    </xf>
    <xf xfId="0" numFmtId="4" applyNumberFormat="1" borderId="6" applyBorder="1" fontId="1" applyFont="1" fillId="0" applyAlignment="1">
      <alignment horizontal="left"/>
    </xf>
    <xf xfId="0" numFmtId="0" borderId="1" applyBorder="1" fontId="8" applyFont="1" fillId="4" applyFill="1" applyAlignment="1">
      <alignment horizontal="center" vertical="top"/>
    </xf>
    <xf xfId="0" numFmtId="0" borderId="1" applyBorder="1" fontId="8" applyFont="1" fillId="4" applyFill="1" applyAlignment="1">
      <alignment horizontal="center"/>
    </xf>
    <xf xfId="0" numFmtId="164" applyNumberFormat="1" borderId="1" applyBorder="1" fontId="8" applyFont="1" fillId="4" applyFill="1" applyAlignment="1">
      <alignment horizontal="center" vertical="top"/>
    </xf>
    <xf xfId="0" numFmtId="164" applyNumberFormat="1" borderId="1" applyBorder="1" fontId="8" applyFont="1" fillId="4" applyFill="1" applyAlignment="1">
      <alignment horizontal="center"/>
    </xf>
    <xf xfId="0" numFmtId="0" borderId="1" applyBorder="1" fontId="1" applyFont="1" fillId="5" applyFill="1" applyAlignment="1">
      <alignment horizontal="center" vertical="top"/>
    </xf>
    <xf xfId="0" numFmtId="0" borderId="1" applyBorder="1" fontId="1" applyFont="1" fillId="5" applyFill="1" applyAlignment="1">
      <alignment horizontal="center"/>
    </xf>
    <xf xfId="0" numFmtId="1" applyNumberFormat="1" borderId="1" applyBorder="1" fontId="1" applyFont="1" fillId="5" applyFill="1" applyAlignment="1">
      <alignment horizontal="center" vertical="top"/>
    </xf>
    <xf xfId="0" numFmtId="1" applyNumberFormat="1" borderId="1" applyBorder="1" fontId="1" applyFont="1" fillId="5" applyFill="1" applyAlignment="1">
      <alignment horizontal="center"/>
    </xf>
    <xf xfId="0" numFmtId="4" applyNumberFormat="1" borderId="1" applyBorder="1" fontId="1" applyFont="1" fillId="5" applyFill="1" applyAlignment="1">
      <alignment horizontal="center" vertical="top"/>
    </xf>
    <xf xfId="0" numFmtId="4" applyNumberFormat="1" borderId="1" applyBorder="1" fontId="1" applyFont="1" fillId="5" applyFill="1" applyAlignment="1">
      <alignment horizontal="center"/>
    </xf>
    <xf xfId="0" numFmtId="0" borderId="28" applyBorder="1" fontId="2" applyFont="1" fillId="0" applyAlignment="1">
      <alignment horizontal="left"/>
    </xf>
    <xf xfId="0" numFmtId="0" borderId="29" applyBorder="1" fontId="2" applyFont="1" fillId="0" applyAlignment="1">
      <alignment horizontal="left"/>
    </xf>
    <xf xfId="0" numFmtId="4" applyNumberFormat="1" borderId="29" applyBorder="1" fontId="2" applyFont="1" fillId="0" applyAlignment="1">
      <alignment horizontal="left"/>
    </xf>
    <xf xfId="0" numFmtId="0" borderId="30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53"/>
  <sheetViews>
    <sheetView workbookViewId="0" tabSelected="1"/>
  </sheetViews>
  <sheetFormatPr defaultRowHeight="15" x14ac:dyDescent="0.25"/>
  <cols>
    <col min="1" max="1" style="35" width="13.576428571428572" customWidth="1" bestFit="1"/>
    <col min="2" max="2" style="35" width="13.576428571428572" customWidth="1" bestFit="1"/>
    <col min="3" max="3" style="35" width="13.576428571428572" customWidth="1" bestFit="1"/>
    <col min="4" max="4" style="35" width="13.576428571428572" customWidth="1" bestFit="1"/>
    <col min="5" max="5" style="35" width="13.576428571428572" customWidth="1" bestFit="1"/>
    <col min="6" max="6" style="35" width="13.576428571428572" customWidth="1" bestFit="1"/>
    <col min="7" max="7" style="35" width="13.576428571428572" customWidth="1" bestFit="1"/>
    <col min="8" max="8" style="32" width="13.576428571428572" customWidth="1" bestFit="1"/>
    <col min="9" max="9" style="35" width="13.576428571428572" customWidth="1" bestFit="1"/>
    <col min="10" max="10" style="35" width="13.576428571428572" customWidth="1" bestFit="1"/>
    <col min="11" max="11" style="35" width="13.576428571428572" customWidth="1" bestFit="1"/>
    <col min="12" max="12" style="35" width="13.576428571428572" customWidth="1" bestFit="1"/>
    <col min="13" max="13" style="35" width="13.290714285714287" customWidth="1" bestFit="1"/>
    <col min="14" max="14" style="125" width="9.719285714285713" customWidth="1" bestFit="1"/>
    <col min="15" max="15" style="35" width="11.005" customWidth="1" bestFit="1"/>
    <col min="16" max="16" style="35" width="9.147857142857141" customWidth="1" bestFit="1"/>
    <col min="17" max="17" style="126" width="9.147857142857141" customWidth="1" bestFit="1"/>
    <col min="18" max="18" style="31" width="9.147857142857141" customWidth="1" bestFit="1"/>
    <col min="19" max="19" style="35" width="9.147857142857141" customWidth="1" bestFit="1"/>
  </cols>
  <sheetData>
    <row x14ac:dyDescent="0.25" r="1" customHeight="1" ht="18.75">
      <c r="A1" s="36" t="s">
        <v>13</v>
      </c>
      <c r="B1" s="37"/>
      <c r="C1" s="37"/>
      <c r="D1" s="37"/>
      <c r="E1" s="37"/>
      <c r="F1" s="37"/>
      <c r="G1" s="37"/>
      <c r="H1" s="38"/>
      <c r="I1" s="37"/>
      <c r="J1" s="39"/>
      <c r="K1" s="5"/>
      <c r="L1" s="5"/>
      <c r="M1" s="5" t="s">
        <v>14</v>
      </c>
      <c r="N1" s="40" t="s">
        <v>15</v>
      </c>
      <c r="O1" s="5" t="s">
        <v>16</v>
      </c>
      <c r="P1" s="41" t="s">
        <v>17</v>
      </c>
      <c r="Q1" s="42" t="s">
        <v>18</v>
      </c>
      <c r="R1" s="43"/>
      <c r="S1" s="44"/>
    </row>
    <row x14ac:dyDescent="0.25" r="2" customHeight="1" ht="18.75">
      <c r="A2" s="45"/>
      <c r="B2" s="46"/>
      <c r="C2" s="46"/>
      <c r="D2" s="46"/>
      <c r="E2" s="46"/>
      <c r="F2" s="46"/>
      <c r="G2" s="46"/>
      <c r="H2" s="47"/>
      <c r="I2" s="46"/>
      <c r="J2" s="48"/>
      <c r="K2" s="5"/>
      <c r="L2" s="5"/>
      <c r="M2" s="49">
        <f>A9</f>
      </c>
      <c r="N2" s="50">
        <f>IF(N8*M2/12&gt;N9,N9*12,M2*N8)</f>
      </c>
      <c r="O2" s="49">
        <f>IF($N$10="Yes",N2*(1-S2),N2)</f>
      </c>
      <c r="P2" s="51">
        <f>O2+(INDEX(#REF!,MATCH(1,#REF!,0))*12)</f>
      </c>
      <c r="Q2" s="52">
        <v>0.1</v>
      </c>
      <c r="R2" s="53">
        <v>18500</v>
      </c>
      <c r="S2" s="54">
        <f>INDEX(Q2:Q8,MATCH(M2,R2:R8,1))</f>
      </c>
    </row>
    <row x14ac:dyDescent="0.25" r="3" customHeight="1" ht="18.75">
      <c r="A3" s="55" t="s">
        <v>19</v>
      </c>
      <c r="B3" s="56"/>
      <c r="C3" s="56"/>
      <c r="D3" s="56"/>
      <c r="E3" s="57"/>
      <c r="F3" s="58" t="s">
        <v>20</v>
      </c>
      <c r="G3" s="59"/>
      <c r="H3" s="60"/>
      <c r="I3" s="59"/>
      <c r="J3" s="61"/>
      <c r="K3" s="5"/>
      <c r="L3" s="5"/>
      <c r="M3" s="62"/>
      <c r="N3" s="62"/>
      <c r="O3" s="62"/>
      <c r="P3" s="5"/>
      <c r="Q3" s="52">
        <v>0.15</v>
      </c>
      <c r="R3" s="53">
        <v>75300</v>
      </c>
      <c r="S3" s="44"/>
    </row>
    <row x14ac:dyDescent="0.25" r="4" customHeight="1" ht="18.75">
      <c r="A4" s="63"/>
      <c r="B4" s="64"/>
      <c r="C4" s="64"/>
      <c r="D4" s="64"/>
      <c r="E4" s="65"/>
      <c r="F4" s="66"/>
      <c r="G4" s="67"/>
      <c r="H4" s="68"/>
      <c r="I4" s="67"/>
      <c r="J4" s="69"/>
      <c r="K4" s="5"/>
      <c r="L4" s="5"/>
      <c r="M4" s="62"/>
      <c r="N4" s="62"/>
      <c r="O4" s="62"/>
      <c r="P4" s="5"/>
      <c r="Q4" s="52">
        <v>0.25</v>
      </c>
      <c r="R4" s="53">
        <v>151900</v>
      </c>
      <c r="S4" s="44"/>
    </row>
    <row x14ac:dyDescent="0.25" r="5" customHeight="1" ht="18.75">
      <c r="A5" s="63"/>
      <c r="B5" s="64"/>
      <c r="C5" s="64"/>
      <c r="D5" s="64"/>
      <c r="E5" s="65"/>
      <c r="F5" s="66"/>
      <c r="G5" s="67"/>
      <c r="H5" s="68"/>
      <c r="I5" s="67"/>
      <c r="J5" s="69"/>
      <c r="K5" s="5"/>
      <c r="L5" s="5"/>
      <c r="M5" s="62"/>
      <c r="N5" s="62"/>
      <c r="O5" s="62"/>
      <c r="P5" s="5"/>
      <c r="Q5" s="52">
        <v>0.28</v>
      </c>
      <c r="R5" s="53">
        <v>231450</v>
      </c>
      <c r="S5" s="44"/>
    </row>
    <row x14ac:dyDescent="0.25" r="6" customHeight="1" ht="18.75">
      <c r="A6" s="70"/>
      <c r="B6" s="71"/>
      <c r="C6" s="71"/>
      <c r="D6" s="71"/>
      <c r="E6" s="72"/>
      <c r="F6" s="73"/>
      <c r="G6" s="74"/>
      <c r="H6" s="75"/>
      <c r="I6" s="74"/>
      <c r="J6" s="76"/>
      <c r="K6" s="5"/>
      <c r="L6" s="5"/>
      <c r="M6" s="62"/>
      <c r="N6" s="62"/>
      <c r="O6" s="62"/>
      <c r="P6" s="5"/>
      <c r="Q6" s="52">
        <v>0.33</v>
      </c>
      <c r="R6" s="53">
        <v>413350</v>
      </c>
      <c r="S6" s="44"/>
    </row>
    <row x14ac:dyDescent="0.25" r="7" customHeight="1" ht="18.75">
      <c r="A7" s="77" t="s">
        <v>21</v>
      </c>
      <c r="B7" s="78"/>
      <c r="C7" s="78"/>
      <c r="D7" s="78"/>
      <c r="E7" s="78"/>
      <c r="F7" s="79" t="s">
        <v>21</v>
      </c>
      <c r="G7" s="80"/>
      <c r="H7" s="81"/>
      <c r="I7" s="80"/>
      <c r="J7" s="82"/>
      <c r="K7" s="5"/>
      <c r="L7" s="5"/>
      <c r="M7" s="5"/>
      <c r="N7" s="40"/>
      <c r="O7" s="5"/>
      <c r="P7" s="5"/>
      <c r="Q7" s="52">
        <v>0.35</v>
      </c>
      <c r="R7" s="53">
        <v>466950</v>
      </c>
      <c r="S7" s="44"/>
    </row>
    <row x14ac:dyDescent="0.25" r="8" customHeight="1" ht="18.75">
      <c r="A8" s="78"/>
      <c r="B8" s="78"/>
      <c r="C8" s="78"/>
      <c r="D8" s="78"/>
      <c r="E8" s="78"/>
      <c r="F8" s="83"/>
      <c r="G8" s="80"/>
      <c r="H8" s="81"/>
      <c r="I8" s="80"/>
      <c r="J8" s="82"/>
      <c r="K8" s="5"/>
      <c r="L8" s="5"/>
      <c r="M8" s="84" t="s">
        <v>22</v>
      </c>
      <c r="N8" s="85">
        <f>#REF!</f>
      </c>
      <c r="O8" s="5"/>
      <c r="P8" s="5"/>
      <c r="Q8" s="86">
        <v>0.396</v>
      </c>
      <c r="R8" s="53">
        <v>20000000</v>
      </c>
      <c r="S8" s="44"/>
    </row>
    <row x14ac:dyDescent="0.25" r="9" customHeight="1" ht="18.75">
      <c r="A9" s="87">
        <f>#REF!+#REF!</f>
      </c>
      <c r="B9" s="88"/>
      <c r="C9" s="88"/>
      <c r="D9" s="88"/>
      <c r="E9" s="89"/>
      <c r="F9" s="87">
        <f>#REF!+#REF!-(INDEX(#REF!,MATCH(1,#REF!,0))*12)</f>
      </c>
      <c r="G9" s="88"/>
      <c r="H9" s="88"/>
      <c r="I9" s="88"/>
      <c r="J9" s="89"/>
      <c r="K9" s="5"/>
      <c r="L9" s="5"/>
      <c r="M9" s="84" t="s">
        <v>23</v>
      </c>
      <c r="N9" s="85">
        <f>#REF!</f>
      </c>
      <c r="O9" s="5"/>
      <c r="P9" s="5"/>
      <c r="Q9" s="90"/>
      <c r="R9" s="1"/>
      <c r="S9" s="5"/>
    </row>
    <row x14ac:dyDescent="0.25" r="10" customHeight="1" ht="19.5">
      <c r="A10" s="91"/>
      <c r="B10" s="88"/>
      <c r="C10" s="88"/>
      <c r="D10" s="88"/>
      <c r="E10" s="89"/>
      <c r="F10" s="91"/>
      <c r="G10" s="88"/>
      <c r="H10" s="88"/>
      <c r="I10" s="88"/>
      <c r="J10" s="89"/>
      <c r="K10" s="5"/>
      <c r="L10" s="5"/>
      <c r="M10" s="84" t="s">
        <v>24</v>
      </c>
      <c r="N10" s="85">
        <f>#REF!</f>
      </c>
      <c r="O10" s="5"/>
      <c r="P10" s="5"/>
      <c r="Q10" s="90"/>
      <c r="R10" s="1"/>
      <c r="S10" s="5"/>
    </row>
    <row x14ac:dyDescent="0.25" r="11" customHeight="1" ht="18.75">
      <c r="A11" s="92"/>
      <c r="B11" s="93"/>
      <c r="C11" s="93"/>
      <c r="D11" s="93"/>
      <c r="E11" s="94"/>
      <c r="F11" s="92"/>
      <c r="G11" s="93"/>
      <c r="H11" s="93"/>
      <c r="I11" s="93"/>
      <c r="J11" s="94"/>
      <c r="K11" s="5"/>
      <c r="L11" s="5"/>
      <c r="M11" s="5"/>
      <c r="N11" s="40"/>
      <c r="O11" s="5"/>
      <c r="P11" s="5"/>
      <c r="Q11" s="90"/>
      <c r="R11" s="1"/>
      <c r="S11" s="5"/>
    </row>
    <row x14ac:dyDescent="0.25" r="12" customHeight="1" ht="18.75">
      <c r="A12" s="95" t="s">
        <v>25</v>
      </c>
      <c r="B12" s="96"/>
      <c r="C12" s="96"/>
      <c r="D12" s="96"/>
      <c r="E12" s="97"/>
      <c r="F12" s="95" t="s">
        <v>25</v>
      </c>
      <c r="G12" s="96"/>
      <c r="H12" s="98"/>
      <c r="I12" s="96"/>
      <c r="J12" s="97"/>
      <c r="K12" s="5"/>
      <c r="L12" s="5"/>
      <c r="M12" s="5" t="s">
        <v>26</v>
      </c>
      <c r="N12" s="40"/>
      <c r="O12" s="5"/>
      <c r="P12" s="5"/>
      <c r="Q12" s="90"/>
      <c r="R12" s="1"/>
      <c r="S12" s="5"/>
    </row>
    <row x14ac:dyDescent="0.25" r="13" customHeight="1" ht="18.75">
      <c r="A13" s="83"/>
      <c r="B13" s="80"/>
      <c r="C13" s="80"/>
      <c r="D13" s="80"/>
      <c r="E13" s="82"/>
      <c r="F13" s="83"/>
      <c r="G13" s="80"/>
      <c r="H13" s="81"/>
      <c r="I13" s="80"/>
      <c r="J13" s="82"/>
      <c r="K13" s="5"/>
      <c r="L13" s="5"/>
      <c r="M13" s="84" t="s">
        <v>27</v>
      </c>
      <c r="N13" s="62">
        <v>180000</v>
      </c>
      <c r="O13" s="5"/>
      <c r="P13" s="5"/>
      <c r="Q13" s="90"/>
      <c r="R13" s="1"/>
      <c r="S13" s="5"/>
    </row>
    <row x14ac:dyDescent="0.25" r="14" customHeight="1" ht="18.75">
      <c r="A14" s="87">
        <f>#REF!*12</f>
      </c>
      <c r="B14" s="88"/>
      <c r="C14" s="88"/>
      <c r="D14" s="88"/>
      <c r="E14" s="89"/>
      <c r="F14" s="87">
        <f>#REF!*12+(INDEX(#REF!,MATCH(1,#REF!,0))*12)</f>
      </c>
      <c r="G14" s="88"/>
      <c r="H14" s="88"/>
      <c r="I14" s="88"/>
      <c r="J14" s="89"/>
      <c r="K14" s="5"/>
      <c r="L14" s="5"/>
      <c r="M14" s="84" t="s">
        <v>28</v>
      </c>
      <c r="N14" s="62">
        <v>20000</v>
      </c>
      <c r="O14" s="5"/>
      <c r="P14" s="5"/>
      <c r="Q14" s="90"/>
      <c r="R14" s="1"/>
      <c r="S14" s="5"/>
    </row>
    <row x14ac:dyDescent="0.25" r="15" customHeight="1" ht="18.75">
      <c r="A15" s="91"/>
      <c r="B15" s="88"/>
      <c r="C15" s="88"/>
      <c r="D15" s="88"/>
      <c r="E15" s="89"/>
      <c r="F15" s="91"/>
      <c r="G15" s="88"/>
      <c r="H15" s="88"/>
      <c r="I15" s="88"/>
      <c r="J15" s="89"/>
      <c r="K15" s="5"/>
      <c r="L15" s="5"/>
      <c r="M15" s="84" t="s">
        <v>29</v>
      </c>
      <c r="N15" s="62">
        <f>N13+N14</f>
      </c>
      <c r="O15" s="99"/>
      <c r="P15" s="5"/>
      <c r="Q15" s="90"/>
      <c r="R15" s="1"/>
      <c r="S15" s="5"/>
    </row>
    <row x14ac:dyDescent="0.25" r="16" customHeight="1" ht="18.75">
      <c r="A16" s="92"/>
      <c r="B16" s="93"/>
      <c r="C16" s="93"/>
      <c r="D16" s="93"/>
      <c r="E16" s="94"/>
      <c r="F16" s="92"/>
      <c r="G16" s="93"/>
      <c r="H16" s="93"/>
      <c r="I16" s="93"/>
      <c r="J16" s="94"/>
      <c r="K16" s="5"/>
      <c r="L16" s="5"/>
      <c r="M16" s="84" t="s">
        <v>30</v>
      </c>
      <c r="N16" s="52">
        <v>0.28</v>
      </c>
      <c r="O16" s="5"/>
      <c r="P16" s="5"/>
      <c r="Q16" s="90"/>
      <c r="R16" s="1"/>
      <c r="S16" s="5"/>
    </row>
    <row x14ac:dyDescent="0.25" r="17" customHeight="1" ht="18.75">
      <c r="A17" s="100"/>
      <c r="B17" s="5"/>
      <c r="C17" s="5"/>
      <c r="D17" s="5"/>
      <c r="E17" s="5"/>
      <c r="F17" s="5"/>
      <c r="G17" s="5"/>
      <c r="H17" s="2"/>
      <c r="I17" s="5"/>
      <c r="J17" s="101"/>
      <c r="K17" s="5"/>
      <c r="L17" s="5"/>
      <c r="M17" s="84" t="s">
        <v>31</v>
      </c>
      <c r="N17" s="62">
        <f>N15*(1-N16)</f>
      </c>
      <c r="O17" s="5"/>
      <c r="P17" s="5"/>
      <c r="Q17" s="90"/>
      <c r="R17" s="1"/>
      <c r="S17" s="5"/>
    </row>
    <row x14ac:dyDescent="0.25" r="18" customHeight="1" ht="18.75">
      <c r="A18" s="100"/>
      <c r="B18" s="5"/>
      <c r="C18" s="5"/>
      <c r="D18" s="5"/>
      <c r="E18" s="5"/>
      <c r="F18" s="5"/>
      <c r="G18" s="5"/>
      <c r="H18" s="2"/>
      <c r="I18" s="5"/>
      <c r="J18" s="101"/>
      <c r="K18" s="5"/>
      <c r="L18" s="5"/>
      <c r="M18" s="84" t="s">
        <v>15</v>
      </c>
      <c r="N18" s="50">
        <f>IF(N10="Yes",0.75*IF(N13*N8/12&gt;N9,N9,N13*N8),IF(N13*N8/12&gt;N9,N9,N13*N8))</f>
      </c>
      <c r="O18" s="5"/>
      <c r="P18" s="5"/>
      <c r="Q18" s="90"/>
      <c r="R18" s="1"/>
      <c r="S18" s="5"/>
    </row>
    <row x14ac:dyDescent="0.25" r="19" customHeight="1" ht="19.5">
      <c r="A19" s="100"/>
      <c r="B19" s="5"/>
      <c r="C19" s="5"/>
      <c r="D19" s="5"/>
      <c r="E19" s="5"/>
      <c r="F19" s="5"/>
      <c r="G19" s="5"/>
      <c r="H19" s="2"/>
      <c r="I19" s="5"/>
      <c r="J19" s="101"/>
      <c r="K19" s="5"/>
      <c r="L19" s="5"/>
      <c r="M19" s="84" t="s">
        <v>32</v>
      </c>
      <c r="N19" s="102">
        <f>N17-N18</f>
      </c>
      <c r="O19" s="5"/>
      <c r="P19" s="5"/>
      <c r="Q19" s="90"/>
      <c r="R19" s="1"/>
      <c r="S19" s="5"/>
    </row>
    <row x14ac:dyDescent="0.25" r="20" customHeight="1" ht="18.75">
      <c r="A20" s="100"/>
      <c r="B20" s="5"/>
      <c r="C20" s="5"/>
      <c r="D20" s="5"/>
      <c r="E20" s="5"/>
      <c r="F20" s="5"/>
      <c r="G20" s="5"/>
      <c r="H20" s="2"/>
      <c r="I20" s="5"/>
      <c r="J20" s="101"/>
      <c r="K20" s="5"/>
      <c r="L20" s="5"/>
      <c r="M20" s="5"/>
      <c r="N20" s="40"/>
      <c r="O20" s="5"/>
      <c r="P20" s="5"/>
      <c r="Q20" s="90"/>
      <c r="R20" s="1"/>
      <c r="S20" s="5"/>
    </row>
    <row x14ac:dyDescent="0.25" r="21" customHeight="1" ht="18.75">
      <c r="A21" s="100"/>
      <c r="B21" s="5"/>
      <c r="C21" s="5"/>
      <c r="D21" s="5"/>
      <c r="E21" s="5"/>
      <c r="F21" s="5"/>
      <c r="G21" s="5"/>
      <c r="H21" s="2"/>
      <c r="I21" s="5"/>
      <c r="J21" s="101"/>
      <c r="K21" s="5"/>
      <c r="L21" s="5"/>
      <c r="M21" s="5"/>
      <c r="N21" s="40"/>
      <c r="O21" s="5"/>
      <c r="P21" s="5"/>
      <c r="Q21" s="90"/>
      <c r="R21" s="1"/>
      <c r="S21" s="5"/>
    </row>
    <row x14ac:dyDescent="0.25" r="22" customHeight="1" ht="18.75">
      <c r="A22" s="100"/>
      <c r="B22" s="5"/>
      <c r="C22" s="5"/>
      <c r="D22" s="5"/>
      <c r="E22" s="5"/>
      <c r="F22" s="5"/>
      <c r="G22" s="5"/>
      <c r="H22" s="2"/>
      <c r="I22" s="5"/>
      <c r="J22" s="101"/>
      <c r="K22" s="5"/>
      <c r="L22" s="5"/>
      <c r="M22" s="5"/>
      <c r="N22" s="40"/>
      <c r="O22" s="5"/>
      <c r="P22" s="5"/>
      <c r="Q22" s="90"/>
      <c r="R22" s="1"/>
      <c r="S22" s="5"/>
    </row>
    <row x14ac:dyDescent="0.25" r="23" customHeight="1" ht="18.75">
      <c r="A23" s="100"/>
      <c r="B23" s="5"/>
      <c r="C23" s="5"/>
      <c r="D23" s="5"/>
      <c r="E23" s="5"/>
      <c r="F23" s="5"/>
      <c r="G23" s="5"/>
      <c r="H23" s="2"/>
      <c r="I23" s="5"/>
      <c r="J23" s="101"/>
      <c r="K23" s="5"/>
      <c r="L23" s="5"/>
      <c r="M23" s="5"/>
      <c r="N23" s="40"/>
      <c r="O23" s="5"/>
      <c r="P23" s="5"/>
      <c r="Q23" s="90"/>
      <c r="R23" s="1"/>
      <c r="S23" s="5"/>
    </row>
    <row x14ac:dyDescent="0.25" r="24" customHeight="1" ht="18.75">
      <c r="A24" s="100"/>
      <c r="B24" s="5"/>
      <c r="C24" s="5"/>
      <c r="D24" s="5"/>
      <c r="E24" s="5"/>
      <c r="F24" s="5"/>
      <c r="G24" s="5"/>
      <c r="H24" s="2"/>
      <c r="I24" s="5"/>
      <c r="J24" s="101"/>
      <c r="K24" s="5"/>
      <c r="L24" s="5"/>
      <c r="M24" s="5"/>
      <c r="N24" s="40"/>
      <c r="O24" s="5"/>
      <c r="P24" s="5"/>
      <c r="Q24" s="90"/>
      <c r="R24" s="1"/>
      <c r="S24" s="5"/>
    </row>
    <row x14ac:dyDescent="0.25" r="25" customHeight="1" ht="18.75">
      <c r="A25" s="100"/>
      <c r="B25" s="5"/>
      <c r="C25" s="5"/>
      <c r="D25" s="5"/>
      <c r="E25" s="5"/>
      <c r="F25" s="5"/>
      <c r="G25" s="5"/>
      <c r="H25" s="2"/>
      <c r="I25" s="5"/>
      <c r="J25" s="101"/>
      <c r="K25" s="5"/>
      <c r="L25" s="5"/>
      <c r="M25" s="5"/>
      <c r="N25" s="40"/>
      <c r="O25" s="5"/>
      <c r="P25" s="5"/>
      <c r="Q25" s="90"/>
      <c r="R25" s="1"/>
      <c r="S25" s="5"/>
    </row>
    <row x14ac:dyDescent="0.25" r="26" customHeight="1" ht="18.75">
      <c r="A26" s="100"/>
      <c r="B26" s="5"/>
      <c r="C26" s="5"/>
      <c r="D26" s="5"/>
      <c r="E26" s="5"/>
      <c r="F26" s="5"/>
      <c r="G26" s="5"/>
      <c r="H26" s="2"/>
      <c r="I26" s="5"/>
      <c r="J26" s="101"/>
      <c r="K26" s="5"/>
      <c r="L26" s="5"/>
      <c r="M26" s="5"/>
      <c r="N26" s="40"/>
      <c r="O26" s="5"/>
      <c r="P26" s="5"/>
      <c r="Q26" s="90"/>
      <c r="R26" s="1"/>
      <c r="S26" s="5"/>
    </row>
    <row x14ac:dyDescent="0.25" r="27" customHeight="1" ht="18.75">
      <c r="A27" s="100"/>
      <c r="B27" s="5"/>
      <c r="C27" s="5"/>
      <c r="D27" s="5"/>
      <c r="E27" s="5"/>
      <c r="F27" s="5"/>
      <c r="G27" s="5"/>
      <c r="H27" s="2"/>
      <c r="I27" s="5"/>
      <c r="J27" s="101"/>
      <c r="K27" s="5"/>
      <c r="L27" s="5"/>
      <c r="M27" s="5"/>
      <c r="N27" s="40"/>
      <c r="O27" s="5"/>
      <c r="P27" s="5"/>
      <c r="Q27" s="90"/>
      <c r="R27" s="1"/>
      <c r="S27" s="5"/>
    </row>
    <row x14ac:dyDescent="0.25" r="28" customHeight="1" ht="18.75">
      <c r="A28" s="100"/>
      <c r="B28" s="5"/>
      <c r="C28" s="5"/>
      <c r="D28" s="5"/>
      <c r="E28" s="5"/>
      <c r="F28" s="5"/>
      <c r="G28" s="5"/>
      <c r="H28" s="2"/>
      <c r="I28" s="5"/>
      <c r="J28" s="101"/>
      <c r="K28" s="5"/>
      <c r="L28" s="5"/>
      <c r="M28" s="5"/>
      <c r="N28" s="40"/>
      <c r="O28" s="5"/>
      <c r="P28" s="5"/>
      <c r="Q28" s="90"/>
      <c r="R28" s="1"/>
      <c r="S28" s="5"/>
    </row>
    <row x14ac:dyDescent="0.25" r="29" customHeight="1" ht="18.75">
      <c r="A29" s="100"/>
      <c r="B29" s="5"/>
      <c r="C29" s="5"/>
      <c r="D29" s="5"/>
      <c r="E29" s="5"/>
      <c r="F29" s="5"/>
      <c r="G29" s="5"/>
      <c r="H29" s="2"/>
      <c r="I29" s="5"/>
      <c r="J29" s="101"/>
      <c r="K29" s="5"/>
      <c r="L29" s="5"/>
      <c r="M29" s="5"/>
      <c r="N29" s="40"/>
      <c r="O29" s="5"/>
      <c r="P29" s="5"/>
      <c r="Q29" s="90"/>
      <c r="R29" s="1"/>
      <c r="S29" s="5"/>
    </row>
    <row x14ac:dyDescent="0.25" r="30" customHeight="1" ht="18.75">
      <c r="A30" s="100"/>
      <c r="B30" s="5"/>
      <c r="C30" s="5"/>
      <c r="D30" s="5"/>
      <c r="E30" s="5"/>
      <c r="F30" s="5"/>
      <c r="G30" s="5"/>
      <c r="H30" s="2"/>
      <c r="I30" s="5"/>
      <c r="J30" s="101"/>
      <c r="K30" s="5"/>
      <c r="L30" s="5"/>
      <c r="M30" s="5"/>
      <c r="N30" s="40"/>
      <c r="O30" s="5"/>
      <c r="P30" s="5"/>
      <c r="Q30" s="90"/>
      <c r="R30" s="1"/>
      <c r="S30" s="5"/>
    </row>
    <row x14ac:dyDescent="0.25" r="31" customHeight="1" ht="18.75">
      <c r="A31" s="100"/>
      <c r="B31" s="5"/>
      <c r="C31" s="5"/>
      <c r="D31" s="5"/>
      <c r="E31" s="5"/>
      <c r="F31" s="5"/>
      <c r="G31" s="5"/>
      <c r="H31" s="2"/>
      <c r="I31" s="5"/>
      <c r="J31" s="101"/>
      <c r="K31" s="5"/>
      <c r="L31" s="5"/>
      <c r="M31" s="5"/>
      <c r="N31" s="40"/>
      <c r="O31" s="5"/>
      <c r="P31" s="5"/>
      <c r="Q31" s="90"/>
      <c r="R31" s="1"/>
      <c r="S31" s="5"/>
    </row>
    <row x14ac:dyDescent="0.25" r="32" customHeight="1" ht="18.75">
      <c r="A32" s="100"/>
      <c r="B32" s="5"/>
      <c r="C32" s="5"/>
      <c r="D32" s="5"/>
      <c r="E32" s="5"/>
      <c r="F32" s="5"/>
      <c r="G32" s="5"/>
      <c r="H32" s="2"/>
      <c r="I32" s="5"/>
      <c r="J32" s="101"/>
      <c r="K32" s="5"/>
      <c r="L32" s="5"/>
      <c r="M32" s="5"/>
      <c r="N32" s="40"/>
      <c r="O32" s="5"/>
      <c r="P32" s="5"/>
      <c r="Q32" s="90"/>
      <c r="R32" s="1"/>
      <c r="S32" s="5"/>
    </row>
    <row x14ac:dyDescent="0.25" r="33" customHeight="1" ht="18.75">
      <c r="A33" s="100"/>
      <c r="B33" s="5"/>
      <c r="C33" s="5"/>
      <c r="D33" s="5"/>
      <c r="E33" s="5"/>
      <c r="F33" s="5"/>
      <c r="G33" s="5"/>
      <c r="H33" s="2"/>
      <c r="I33" s="5"/>
      <c r="J33" s="101"/>
      <c r="K33" s="5"/>
      <c r="L33" s="5"/>
      <c r="M33" s="5"/>
      <c r="N33" s="40"/>
      <c r="O33" s="5"/>
      <c r="P33" s="5"/>
      <c r="Q33" s="90"/>
      <c r="R33" s="1"/>
      <c r="S33" s="5"/>
    </row>
    <row x14ac:dyDescent="0.25" r="34" customHeight="1" ht="18.75">
      <c r="A34" s="100"/>
      <c r="B34" s="5"/>
      <c r="C34" s="5"/>
      <c r="D34" s="5"/>
      <c r="E34" s="5"/>
      <c r="F34" s="5"/>
      <c r="G34" s="5"/>
      <c r="H34" s="2"/>
      <c r="I34" s="5"/>
      <c r="J34" s="101"/>
      <c r="K34" s="5"/>
      <c r="L34" s="5"/>
      <c r="M34" s="5"/>
      <c r="N34" s="40"/>
      <c r="O34" s="5"/>
      <c r="P34" s="5"/>
      <c r="Q34" s="90"/>
      <c r="R34" s="1"/>
      <c r="S34" s="5"/>
    </row>
    <row x14ac:dyDescent="0.25" r="35" customHeight="1" ht="18.75">
      <c r="A35" s="100"/>
      <c r="B35" s="5"/>
      <c r="C35" s="5"/>
      <c r="D35" s="5"/>
      <c r="E35" s="5"/>
      <c r="F35" s="5"/>
      <c r="G35" s="5"/>
      <c r="H35" s="2"/>
      <c r="I35" s="5"/>
      <c r="J35" s="101"/>
      <c r="K35" s="5"/>
      <c r="L35" s="5"/>
      <c r="M35" s="5"/>
      <c r="N35" s="40"/>
      <c r="O35" s="5"/>
      <c r="P35" s="5"/>
      <c r="Q35" s="90"/>
      <c r="R35" s="1"/>
      <c r="S35" s="5"/>
    </row>
    <row x14ac:dyDescent="0.25" r="36" customHeight="1" ht="15">
      <c r="A36" s="100"/>
      <c r="B36" s="103" t="s">
        <v>33</v>
      </c>
      <c r="C36" s="46"/>
      <c r="D36" s="46"/>
      <c r="E36" s="46"/>
      <c r="F36" s="46"/>
      <c r="G36" s="46"/>
      <c r="H36" s="47"/>
      <c r="I36" s="46"/>
      <c r="J36" s="101"/>
      <c r="K36" s="5"/>
      <c r="L36" s="5"/>
      <c r="M36" s="5"/>
      <c r="N36" s="40"/>
      <c r="O36" s="5"/>
      <c r="P36" s="5"/>
      <c r="Q36" s="90"/>
      <c r="R36" s="1"/>
      <c r="S36" s="5"/>
    </row>
    <row x14ac:dyDescent="0.25" r="37" customHeight="1" ht="18.75">
      <c r="A37" s="100"/>
      <c r="B37" s="46"/>
      <c r="C37" s="46"/>
      <c r="D37" s="46"/>
      <c r="E37" s="46"/>
      <c r="F37" s="46"/>
      <c r="G37" s="46"/>
      <c r="H37" s="47"/>
      <c r="I37" s="46"/>
      <c r="J37" s="101"/>
      <c r="K37" s="5"/>
      <c r="L37" s="5"/>
      <c r="M37" s="5"/>
      <c r="N37" s="40"/>
      <c r="O37" s="5"/>
      <c r="P37" s="5"/>
      <c r="Q37" s="90"/>
      <c r="R37" s="1"/>
      <c r="S37" s="5"/>
    </row>
    <row x14ac:dyDescent="0.25" r="38" customHeight="1" ht="18.75">
      <c r="A38" s="100"/>
      <c r="B38" s="5"/>
      <c r="C38" s="5"/>
      <c r="D38" s="5"/>
      <c r="E38" s="5"/>
      <c r="F38" s="5"/>
      <c r="G38" s="5"/>
      <c r="H38" s="2"/>
      <c r="I38" s="5"/>
      <c r="J38" s="101"/>
      <c r="K38" s="5"/>
      <c r="L38" s="5"/>
      <c r="M38" s="5"/>
      <c r="N38" s="40"/>
      <c r="O38" s="5"/>
      <c r="P38" s="5"/>
      <c r="Q38" s="90"/>
      <c r="R38" s="1"/>
      <c r="S38" s="5"/>
    </row>
    <row x14ac:dyDescent="0.25" r="39" customHeight="1" ht="18.75">
      <c r="A39" s="100"/>
      <c r="B39" s="104" t="s">
        <v>6</v>
      </c>
      <c r="C39" s="104"/>
      <c r="D39" s="104"/>
      <c r="E39" s="104"/>
      <c r="F39" s="104"/>
      <c r="G39" s="104"/>
      <c r="H39" s="105">
        <v>450</v>
      </c>
      <c r="I39" s="105"/>
      <c r="J39" s="101"/>
      <c r="K39" s="5"/>
      <c r="L39" s="5"/>
      <c r="M39" s="5"/>
      <c r="N39" s="40"/>
      <c r="O39" s="5"/>
      <c r="P39" s="5"/>
      <c r="Q39" s="90"/>
      <c r="R39" s="1"/>
      <c r="S39" s="5"/>
    </row>
    <row x14ac:dyDescent="0.25" r="40" customHeight="1" ht="18.75">
      <c r="A40" s="100"/>
      <c r="B40" s="104" t="s">
        <v>7</v>
      </c>
      <c r="C40" s="104"/>
      <c r="D40" s="104"/>
      <c r="E40" s="104"/>
      <c r="F40" s="104"/>
      <c r="G40" s="104"/>
      <c r="H40" s="106">
        <v>10000</v>
      </c>
      <c r="I40" s="106"/>
      <c r="J40" s="101"/>
      <c r="K40" s="5"/>
      <c r="L40" s="5"/>
      <c r="M40" s="5"/>
      <c r="N40" s="40"/>
      <c r="O40" s="5"/>
      <c r="P40" s="5"/>
      <c r="Q40" s="90"/>
      <c r="R40" s="1"/>
      <c r="S40" s="5"/>
    </row>
    <row x14ac:dyDescent="0.25" r="41" customHeight="1" ht="18.75">
      <c r="A41" s="100"/>
      <c r="B41" s="104" t="s">
        <v>8</v>
      </c>
      <c r="C41" s="104"/>
      <c r="D41" s="104"/>
      <c r="E41" s="104"/>
      <c r="F41" s="104"/>
      <c r="G41" s="104"/>
      <c r="H41" s="107">
        <v>0.06</v>
      </c>
      <c r="I41" s="107"/>
      <c r="J41" s="101"/>
      <c r="K41" s="5"/>
      <c r="L41" s="5"/>
      <c r="M41" s="5"/>
      <c r="N41" s="40"/>
      <c r="O41" s="5"/>
      <c r="P41" s="5"/>
      <c r="Q41" s="90"/>
      <c r="R41" s="1"/>
      <c r="S41" s="5"/>
    </row>
    <row x14ac:dyDescent="0.25" r="42" customHeight="1" ht="15">
      <c r="A42" s="100"/>
      <c r="B42" s="104" t="s">
        <v>9</v>
      </c>
      <c r="C42" s="104"/>
      <c r="D42" s="104"/>
      <c r="E42" s="104"/>
      <c r="F42" s="104"/>
      <c r="G42" s="104"/>
      <c r="H42" s="108">
        <v>12</v>
      </c>
      <c r="I42" s="104"/>
      <c r="J42" s="101"/>
      <c r="K42" s="5"/>
      <c r="L42" s="5"/>
      <c r="M42" s="5"/>
      <c r="N42" s="40"/>
      <c r="O42" s="5"/>
      <c r="P42" s="5"/>
      <c r="Q42" s="90"/>
      <c r="R42" s="1"/>
      <c r="S42" s="5"/>
    </row>
    <row x14ac:dyDescent="0.25" r="43" customHeight="1" ht="15">
      <c r="A43" s="100"/>
      <c r="B43" s="109"/>
      <c r="C43" s="5"/>
      <c r="D43" s="5"/>
      <c r="E43" s="5"/>
      <c r="F43" s="5"/>
      <c r="G43" s="5"/>
      <c r="H43" s="110"/>
      <c r="I43" s="5"/>
      <c r="J43" s="101"/>
      <c r="K43" s="5"/>
      <c r="L43" s="5"/>
      <c r="M43" s="5"/>
      <c r="N43" s="40"/>
      <c r="O43" s="5"/>
      <c r="P43" s="5"/>
      <c r="Q43" s="90"/>
      <c r="R43" s="1"/>
      <c r="S43" s="5"/>
    </row>
    <row x14ac:dyDescent="0.25" r="44" customHeight="1" ht="15">
      <c r="A44" s="100"/>
      <c r="B44" s="111" t="s">
        <v>10</v>
      </c>
      <c r="C44" s="112"/>
      <c r="D44" s="112"/>
      <c r="E44" s="112"/>
      <c r="F44" s="112"/>
      <c r="G44" s="112"/>
      <c r="H44" s="113">
        <f>'Prem v Self'!T7</f>
      </c>
      <c r="I44" s="114"/>
      <c r="J44" s="101"/>
      <c r="K44" s="5"/>
      <c r="L44" s="5"/>
      <c r="M44" s="5"/>
      <c r="N44" s="40"/>
      <c r="O44" s="5"/>
      <c r="P44" s="5"/>
      <c r="Q44" s="90"/>
      <c r="R44" s="1"/>
      <c r="S44" s="5"/>
    </row>
    <row x14ac:dyDescent="0.25" r="45" customHeight="1" ht="18.75">
      <c r="A45" s="100"/>
      <c r="B45" s="112"/>
      <c r="C45" s="112"/>
      <c r="D45" s="112"/>
      <c r="E45" s="112"/>
      <c r="F45" s="112"/>
      <c r="G45" s="112"/>
      <c r="H45" s="114"/>
      <c r="I45" s="114"/>
      <c r="J45" s="101"/>
      <c r="K45" s="5"/>
      <c r="L45" s="5"/>
      <c r="M45" s="5"/>
      <c r="N45" s="40"/>
      <c r="O45" s="5"/>
      <c r="P45" s="5"/>
      <c r="Q45" s="90"/>
      <c r="R45" s="1"/>
      <c r="S45" s="5"/>
    </row>
    <row x14ac:dyDescent="0.25" r="46" customHeight="1" ht="15">
      <c r="A46" s="100"/>
      <c r="B46" s="115" t="s">
        <v>11</v>
      </c>
      <c r="C46" s="116"/>
      <c r="D46" s="116"/>
      <c r="E46" s="116"/>
      <c r="F46" s="116"/>
      <c r="G46" s="116"/>
      <c r="H46" s="117">
        <f>NPER(H41/12,H39,0,-H44)</f>
      </c>
      <c r="I46" s="118"/>
      <c r="J46" s="101"/>
      <c r="K46" s="5"/>
      <c r="L46" s="5"/>
      <c r="M46" s="5"/>
      <c r="N46" s="40"/>
      <c r="O46" s="5"/>
      <c r="P46" s="5"/>
      <c r="Q46" s="90"/>
      <c r="R46" s="1"/>
      <c r="S46" s="5"/>
    </row>
    <row x14ac:dyDescent="0.25" r="47" customHeight="1" ht="18.75">
      <c r="A47" s="100"/>
      <c r="B47" s="116"/>
      <c r="C47" s="116"/>
      <c r="D47" s="116"/>
      <c r="E47" s="116"/>
      <c r="F47" s="116"/>
      <c r="G47" s="116"/>
      <c r="H47" s="118"/>
      <c r="I47" s="118"/>
      <c r="J47" s="101"/>
      <c r="K47" s="5"/>
      <c r="L47" s="5"/>
      <c r="M47" s="5"/>
      <c r="N47" s="40"/>
      <c r="O47" s="5"/>
      <c r="P47" s="5"/>
      <c r="Q47" s="90"/>
      <c r="R47" s="1"/>
      <c r="S47" s="5"/>
    </row>
    <row x14ac:dyDescent="0.25" r="48" customHeight="1" ht="18.75">
      <c r="A48" s="100"/>
      <c r="B48" s="115" t="s">
        <v>12</v>
      </c>
      <c r="C48" s="116"/>
      <c r="D48" s="116"/>
      <c r="E48" s="116"/>
      <c r="F48" s="116"/>
      <c r="G48" s="116"/>
      <c r="H48" s="119">
        <f>H46/12</f>
      </c>
      <c r="I48" s="120"/>
      <c r="J48" s="101"/>
      <c r="K48" s="5"/>
      <c r="L48" s="5"/>
      <c r="M48" s="5"/>
      <c r="N48" s="40"/>
      <c r="O48" s="5"/>
      <c r="P48" s="5"/>
      <c r="Q48" s="90"/>
      <c r="R48" s="1"/>
      <c r="S48" s="5"/>
    </row>
    <row x14ac:dyDescent="0.25" r="49" customHeight="1" ht="18.75">
      <c r="A49" s="100"/>
      <c r="B49" s="116"/>
      <c r="C49" s="116"/>
      <c r="D49" s="116"/>
      <c r="E49" s="116"/>
      <c r="F49" s="116"/>
      <c r="G49" s="116"/>
      <c r="H49" s="120"/>
      <c r="I49" s="120"/>
      <c r="J49" s="101"/>
      <c r="K49" s="5"/>
      <c r="L49" s="5"/>
      <c r="M49" s="5"/>
      <c r="N49" s="40"/>
      <c r="O49" s="5"/>
      <c r="P49" s="5"/>
      <c r="Q49" s="90"/>
      <c r="R49" s="1"/>
      <c r="S49" s="5"/>
    </row>
    <row x14ac:dyDescent="0.25" r="50" customHeight="1" ht="18.75">
      <c r="A50" s="100"/>
      <c r="B50" s="5"/>
      <c r="C50" s="5"/>
      <c r="D50" s="5"/>
      <c r="E50" s="5"/>
      <c r="F50" s="5"/>
      <c r="G50" s="5"/>
      <c r="H50" s="2"/>
      <c r="I50" s="5"/>
      <c r="J50" s="101"/>
      <c r="K50" s="5"/>
      <c r="L50" s="5"/>
      <c r="M50" s="5"/>
      <c r="N50" s="40"/>
      <c r="O50" s="5"/>
      <c r="P50" s="5"/>
      <c r="Q50" s="90"/>
      <c r="R50" s="1"/>
      <c r="S50" s="5"/>
    </row>
    <row x14ac:dyDescent="0.25" r="51" customHeight="1" ht="18.75">
      <c r="A51" s="100"/>
      <c r="B51" s="5"/>
      <c r="C51" s="5"/>
      <c r="D51" s="5"/>
      <c r="E51" s="5"/>
      <c r="F51" s="5"/>
      <c r="G51" s="5"/>
      <c r="H51" s="2"/>
      <c r="I51" s="5"/>
      <c r="J51" s="101"/>
      <c r="K51" s="5"/>
      <c r="L51" s="5"/>
      <c r="M51" s="5"/>
      <c r="N51" s="40"/>
      <c r="O51" s="5"/>
      <c r="P51" s="5"/>
      <c r="Q51" s="90"/>
      <c r="R51" s="1"/>
      <c r="S51" s="5"/>
    </row>
    <row x14ac:dyDescent="0.25" r="52" customHeight="1" ht="18.75">
      <c r="A52" s="100"/>
      <c r="B52" s="5"/>
      <c r="C52" s="5"/>
      <c r="D52" s="5"/>
      <c r="E52" s="5"/>
      <c r="F52" s="5"/>
      <c r="G52" s="5"/>
      <c r="H52" s="2"/>
      <c r="I52" s="5"/>
      <c r="J52" s="101"/>
      <c r="K52" s="5"/>
      <c r="L52" s="5"/>
      <c r="M52" s="5"/>
      <c r="N52" s="40"/>
      <c r="O52" s="5"/>
      <c r="P52" s="5"/>
      <c r="Q52" s="90"/>
      <c r="R52" s="1"/>
      <c r="S52" s="5"/>
    </row>
    <row x14ac:dyDescent="0.25" r="53" customHeight="1" ht="18.75">
      <c r="A53" s="121"/>
      <c r="B53" s="122"/>
      <c r="C53" s="122"/>
      <c r="D53" s="122"/>
      <c r="E53" s="122"/>
      <c r="F53" s="122"/>
      <c r="G53" s="122"/>
      <c r="H53" s="123"/>
      <c r="I53" s="122"/>
      <c r="J53" s="124"/>
      <c r="K53" s="5"/>
      <c r="L53" s="5"/>
      <c r="M53" s="5"/>
      <c r="N53" s="40"/>
      <c r="O53" s="5"/>
      <c r="P53" s="5"/>
      <c r="Q53" s="90"/>
      <c r="R53" s="1"/>
      <c r="S53" s="5"/>
    </row>
  </sheetData>
  <mergeCells count="28">
    <mergeCell ref="A1:J2"/>
    <mergeCell ref="Q1:S1"/>
    <mergeCell ref="S2:S8"/>
    <mergeCell ref="A3:E6"/>
    <mergeCell ref="F3:J6"/>
    <mergeCell ref="A7:E8"/>
    <mergeCell ref="F7:J8"/>
    <mergeCell ref="A9:E11"/>
    <mergeCell ref="F9:J11"/>
    <mergeCell ref="A12:E13"/>
    <mergeCell ref="F12:J13"/>
    <mergeCell ref="A14:E16"/>
    <mergeCell ref="F14:J16"/>
    <mergeCell ref="B36:I37"/>
    <mergeCell ref="B39:G39"/>
    <mergeCell ref="H39:I39"/>
    <mergeCell ref="B40:G40"/>
    <mergeCell ref="H40:I40"/>
    <mergeCell ref="B41:G41"/>
    <mergeCell ref="H41:I41"/>
    <mergeCell ref="B42:G42"/>
    <mergeCell ref="H42:I42"/>
    <mergeCell ref="B44:G45"/>
    <mergeCell ref="H44:I45"/>
    <mergeCell ref="B46:G47"/>
    <mergeCell ref="H46:I47"/>
    <mergeCell ref="B48:G49"/>
    <mergeCell ref="H48:I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92"/>
  <sheetViews>
    <sheetView workbookViewId="0"/>
  </sheetViews>
  <sheetFormatPr defaultRowHeight="15" x14ac:dyDescent="0.25"/>
  <cols>
    <col min="1" max="1" style="31" width="13.576428571428572" customWidth="1" bestFit="1" hidden="1"/>
    <col min="2" max="2" style="31" width="13.576428571428572" customWidth="1" bestFit="1" hidden="1"/>
    <col min="3" max="3" style="32" width="13.576428571428572" customWidth="1" bestFit="1" hidden="1"/>
    <col min="4" max="4" style="33" width="13.576428571428572" customWidth="1" bestFit="1" hidden="1"/>
    <col min="5" max="5" style="31" width="13.576428571428572" customWidth="1" bestFit="1" hidden="1"/>
    <col min="6" max="6" style="31" width="13.576428571428572" customWidth="1" bestFit="1" hidden="1"/>
    <col min="7" max="7" style="32" width="13.576428571428572" customWidth="1" bestFit="1" hidden="1"/>
    <col min="8" max="8" style="33" width="13.576428571428572" customWidth="1" bestFit="1" hidden="1"/>
    <col min="9" max="9" style="31" width="13.576428571428572" customWidth="1" bestFit="1" hidden="1"/>
    <col min="10" max="10" style="31" width="13.576428571428572" customWidth="1" bestFit="1" hidden="1"/>
    <col min="11" max="11" style="32" width="13.576428571428572" customWidth="1" bestFit="1" hidden="1"/>
    <col min="12" max="12" style="33" width="13.576428571428572" customWidth="1" bestFit="1" hidden="1"/>
    <col min="13" max="13" style="31" width="13.576428571428572" customWidth="1" bestFit="1" hidden="1"/>
    <col min="14" max="14" style="31" width="13.576428571428572" customWidth="1" bestFit="1" hidden="1"/>
    <col min="15" max="15" style="32" width="13.576428571428572" customWidth="1" bestFit="1" hidden="1"/>
    <col min="16" max="16" style="33" width="13.576428571428572" customWidth="1" bestFit="1" hidden="1"/>
    <col min="17" max="17" style="34" width="13.576428571428572" customWidth="1" bestFit="1" hidden="1"/>
    <col min="18" max="18" style="33" width="13.576428571428572" customWidth="1" bestFit="1" hidden="1"/>
    <col min="19" max="19" style="35" width="2.862142857142857" customWidth="1" bestFit="1"/>
    <col min="20" max="20" style="32" width="9.290714285714287" customWidth="1" bestFit="1"/>
    <col min="21" max="21" style="35" width="25.576428571428572" customWidth="1" bestFit="1"/>
    <col min="22" max="22" style="35" width="10.719285714285713" customWidth="1" bestFit="1"/>
  </cols>
  <sheetData>
    <row x14ac:dyDescent="0.25" r="1" customHeight="1" ht="18.75">
      <c r="A1" s="1"/>
      <c r="B1" s="1"/>
      <c r="C1" s="2"/>
      <c r="D1" s="3"/>
      <c r="E1" s="1"/>
      <c r="F1" s="1"/>
      <c r="G1" s="2"/>
      <c r="H1" s="3"/>
      <c r="I1" s="1"/>
      <c r="J1" s="1"/>
      <c r="K1" s="2"/>
      <c r="L1" s="3"/>
      <c r="M1" s="1"/>
      <c r="N1" s="1"/>
      <c r="O1" s="2"/>
      <c r="P1" s="3"/>
      <c r="Q1" s="4"/>
      <c r="R1" s="3"/>
      <c r="S1" s="5"/>
      <c r="T1" s="2"/>
      <c r="U1" s="5"/>
      <c r="V1" s="5"/>
    </row>
    <row x14ac:dyDescent="0.25" r="2" customHeight="1" ht="18.75">
      <c r="A2" s="6" t="s">
        <v>0</v>
      </c>
      <c r="B2" s="6" t="s">
        <v>1</v>
      </c>
      <c r="C2" s="7" t="s">
        <v>2</v>
      </c>
      <c r="D2" s="8" t="s">
        <v>3</v>
      </c>
      <c r="E2" s="6" t="s">
        <v>0</v>
      </c>
      <c r="F2" s="6" t="s">
        <v>1</v>
      </c>
      <c r="G2" s="7" t="s">
        <v>2</v>
      </c>
      <c r="H2" s="8" t="s">
        <v>3</v>
      </c>
      <c r="I2" s="6" t="s">
        <v>0</v>
      </c>
      <c r="J2" s="6" t="s">
        <v>1</v>
      </c>
      <c r="K2" s="7" t="s">
        <v>2</v>
      </c>
      <c r="L2" s="8" t="s">
        <v>3</v>
      </c>
      <c r="M2" s="6" t="s">
        <v>0</v>
      </c>
      <c r="N2" s="6" t="s">
        <v>1</v>
      </c>
      <c r="O2" s="7" t="s">
        <v>2</v>
      </c>
      <c r="P2" s="8" t="s">
        <v>3</v>
      </c>
      <c r="Q2" s="9" t="s">
        <v>4</v>
      </c>
      <c r="R2" s="10" t="s">
        <v>5</v>
      </c>
      <c r="S2" s="5"/>
      <c r="T2" s="11">
        <f>Presentation!H39</f>
      </c>
      <c r="U2" s="12" t="s">
        <v>6</v>
      </c>
      <c r="V2" s="5"/>
    </row>
    <row x14ac:dyDescent="0.25" r="3" customHeight="1" ht="18.75">
      <c r="A3" s="13">
        <v>1</v>
      </c>
      <c r="B3" s="13">
        <f>$T$2</f>
      </c>
      <c r="C3" s="14">
        <f>1+($T$4/12)</f>
      </c>
      <c r="D3" s="15">
        <f>B3*C3</f>
      </c>
      <c r="E3" s="13">
        <v>42</v>
      </c>
      <c r="F3" s="13">
        <f>$T$2</f>
      </c>
      <c r="G3" s="14">
        <f>1+($T$4/12)</f>
      </c>
      <c r="H3" s="15">
        <f>(D43+F3)*G3</f>
      </c>
      <c r="I3" s="13">
        <v>83</v>
      </c>
      <c r="J3" s="13">
        <f>$T$2</f>
      </c>
      <c r="K3" s="14">
        <f>1+($T$4/12)</f>
      </c>
      <c r="L3" s="15">
        <f>(H43+J3)*K3</f>
      </c>
      <c r="M3" s="13">
        <v>124</v>
      </c>
      <c r="N3" s="13">
        <f>$T$2</f>
      </c>
      <c r="O3" s="14">
        <f>1+($T$4/12)</f>
      </c>
      <c r="P3" s="15">
        <f>(L43+N3)*O3</f>
      </c>
      <c r="Q3" s="16">
        <v>1</v>
      </c>
      <c r="R3" s="17">
        <f>T3</f>
      </c>
      <c r="S3" s="5"/>
      <c r="T3" s="18">
        <f>Presentation!H40</f>
      </c>
      <c r="U3" s="12" t="s">
        <v>7</v>
      </c>
      <c r="V3" s="5"/>
    </row>
    <row x14ac:dyDescent="0.25" r="4" customHeight="1" ht="18.75">
      <c r="A4" s="13">
        <v>2</v>
      </c>
      <c r="B4" s="13">
        <f>$T$2</f>
      </c>
      <c r="C4" s="14">
        <f>1+($T$4/12)</f>
      </c>
      <c r="D4" s="15">
        <f>(D3+B4)*C4</f>
      </c>
      <c r="E4" s="13">
        <v>43</v>
      </c>
      <c r="F4" s="13">
        <f>$T$2</f>
      </c>
      <c r="G4" s="14">
        <f>1+($T$4/12)</f>
      </c>
      <c r="H4" s="15">
        <f>(H3+F4)*G4</f>
      </c>
      <c r="I4" s="13">
        <v>84</v>
      </c>
      <c r="J4" s="13">
        <f>$T$2</f>
      </c>
      <c r="K4" s="14">
        <f>1+($T$4/12)</f>
      </c>
      <c r="L4" s="15">
        <f>(L3+J4)*K4</f>
      </c>
      <c r="M4" s="13">
        <v>125</v>
      </c>
      <c r="N4" s="13">
        <f>$T$2</f>
      </c>
      <c r="O4" s="14">
        <f>1+($T$4/12)</f>
      </c>
      <c r="P4" s="15">
        <f>(P3+N4)*O4</f>
      </c>
      <c r="Q4" s="16">
        <v>2</v>
      </c>
      <c r="R4" s="17">
        <f>R3+$T$3</f>
      </c>
      <c r="S4" s="5"/>
      <c r="T4" s="19">
        <f>Presentation!H41</f>
      </c>
      <c r="U4" s="12" t="s">
        <v>8</v>
      </c>
      <c r="V4" s="5"/>
    </row>
    <row x14ac:dyDescent="0.25" r="5" customHeight="1" ht="18.75">
      <c r="A5" s="13">
        <v>3</v>
      </c>
      <c r="B5" s="13">
        <f>$T$2</f>
      </c>
      <c r="C5" s="14">
        <f>1+($T$4/12)</f>
      </c>
      <c r="D5" s="15">
        <f>(D4+B5)*C5</f>
      </c>
      <c r="E5" s="13">
        <v>44</v>
      </c>
      <c r="F5" s="13">
        <f>$T$2</f>
      </c>
      <c r="G5" s="14">
        <f>1+($T$4/12)</f>
      </c>
      <c r="H5" s="15">
        <f>(H4+F5)*G5</f>
      </c>
      <c r="I5" s="13">
        <v>85</v>
      </c>
      <c r="J5" s="13">
        <f>$T$2</f>
      </c>
      <c r="K5" s="14">
        <f>1+($T$4/12)</f>
      </c>
      <c r="L5" s="15">
        <f>(L4+J5)*K5</f>
      </c>
      <c r="M5" s="13">
        <v>126</v>
      </c>
      <c r="N5" s="13">
        <f>$T$2</f>
      </c>
      <c r="O5" s="14">
        <f>1+($T$4/12)</f>
      </c>
      <c r="P5" s="15">
        <f>(P4+N5)*O5</f>
      </c>
      <c r="Q5" s="16">
        <v>3</v>
      </c>
      <c r="R5" s="17">
        <f>R4+$T$3</f>
      </c>
      <c r="S5" s="5"/>
      <c r="T5" s="20">
        <f>Presentation!H42</f>
      </c>
      <c r="U5" s="12" t="s">
        <v>9</v>
      </c>
      <c r="V5" s="5"/>
    </row>
    <row x14ac:dyDescent="0.25" r="6" customHeight="1" ht="18.75">
      <c r="A6" s="13">
        <v>4</v>
      </c>
      <c r="B6" s="13">
        <f>$T$2</f>
      </c>
      <c r="C6" s="14">
        <f>1+($T$4/12)</f>
      </c>
      <c r="D6" s="15">
        <f>(D5+B6)*C6</f>
      </c>
      <c r="E6" s="13">
        <v>45</v>
      </c>
      <c r="F6" s="13">
        <f>$T$2</f>
      </c>
      <c r="G6" s="14">
        <f>1+($T$4/12)</f>
      </c>
      <c r="H6" s="15">
        <f>(H5+F6)*G6</f>
      </c>
      <c r="I6" s="13">
        <v>86</v>
      </c>
      <c r="J6" s="13">
        <f>$T$2</f>
      </c>
      <c r="K6" s="14">
        <f>1+($T$4/12)</f>
      </c>
      <c r="L6" s="15">
        <f>(L5+J6)*K6</f>
      </c>
      <c r="M6" s="13">
        <v>127</v>
      </c>
      <c r="N6" s="13">
        <f>$T$2</f>
      </c>
      <c r="O6" s="14">
        <f>1+($T$4/12)</f>
      </c>
      <c r="P6" s="15">
        <f>(P5+N6)*O6</f>
      </c>
      <c r="Q6" s="16">
        <v>4</v>
      </c>
      <c r="R6" s="17">
        <f>R5+$T$3</f>
      </c>
      <c r="S6" s="5"/>
      <c r="T6" s="2"/>
      <c r="U6" s="5"/>
      <c r="V6" s="5"/>
    </row>
    <row x14ac:dyDescent="0.25" r="7" customHeight="1" ht="18.75">
      <c r="A7" s="13">
        <v>5</v>
      </c>
      <c r="B7" s="13">
        <f>$T$2</f>
      </c>
      <c r="C7" s="14">
        <f>1+($T$4/12)</f>
      </c>
      <c r="D7" s="15">
        <f>(D6+B7)*C7</f>
      </c>
      <c r="E7" s="13">
        <v>46</v>
      </c>
      <c r="F7" s="13">
        <f>$T$2</f>
      </c>
      <c r="G7" s="14">
        <f>1+($T$4/12)</f>
      </c>
      <c r="H7" s="15">
        <f>(H6+F7)*G7</f>
      </c>
      <c r="I7" s="13">
        <v>87</v>
      </c>
      <c r="J7" s="13">
        <f>$T$2</f>
      </c>
      <c r="K7" s="14">
        <f>1+($T$4/12)</f>
      </c>
      <c r="L7" s="15">
        <f>(L6+J7)*K7</f>
      </c>
      <c r="M7" s="13">
        <v>128</v>
      </c>
      <c r="N7" s="13">
        <f>$T$2</f>
      </c>
      <c r="O7" s="14">
        <f>1+($T$4/12)</f>
      </c>
      <c r="P7" s="15">
        <f>(P6+N7)*O7</f>
      </c>
      <c r="Q7" s="16">
        <v>5</v>
      </c>
      <c r="R7" s="17">
        <f>R6+$T$3</f>
      </c>
      <c r="S7" s="5"/>
      <c r="T7" s="21">
        <f>VLOOKUP(T5,Q3:R82,2)</f>
      </c>
      <c r="U7" s="22" t="s">
        <v>10</v>
      </c>
      <c r="V7" s="5"/>
    </row>
    <row x14ac:dyDescent="0.25" r="8" customHeight="1" ht="18.75">
      <c r="A8" s="13">
        <v>6</v>
      </c>
      <c r="B8" s="13">
        <f>$T$2</f>
      </c>
      <c r="C8" s="14">
        <f>1+($T$4/12)</f>
      </c>
      <c r="D8" s="15">
        <f>(D7+B8)*C8</f>
      </c>
      <c r="E8" s="13">
        <v>47</v>
      </c>
      <c r="F8" s="13">
        <f>$T$2</f>
      </c>
      <c r="G8" s="14">
        <f>1+($T$4/12)</f>
      </c>
      <c r="H8" s="15">
        <f>(H7+F8)*G8</f>
      </c>
      <c r="I8" s="13">
        <v>88</v>
      </c>
      <c r="J8" s="13">
        <f>$T$2</f>
      </c>
      <c r="K8" s="14">
        <f>1+($T$4/12)</f>
      </c>
      <c r="L8" s="15">
        <f>(L7+J8)*K8</f>
      </c>
      <c r="M8" s="13">
        <v>129</v>
      </c>
      <c r="N8" s="13">
        <f>$T$2</f>
      </c>
      <c r="O8" s="14">
        <f>1+($T$4/12)</f>
      </c>
      <c r="P8" s="15">
        <f>(P7+N8)*O8</f>
      </c>
      <c r="Q8" s="16">
        <v>6</v>
      </c>
      <c r="R8" s="17">
        <f>R7+$T$3</f>
      </c>
      <c r="S8" s="5"/>
      <c r="T8" s="2"/>
      <c r="U8" s="5"/>
      <c r="V8" s="5"/>
    </row>
    <row x14ac:dyDescent="0.25" r="9" customHeight="1" ht="18.75">
      <c r="A9" s="13">
        <v>7</v>
      </c>
      <c r="B9" s="13">
        <f>$T$2</f>
      </c>
      <c r="C9" s="14">
        <f>1+($T$4/12)</f>
      </c>
      <c r="D9" s="15">
        <f>(D8+B9)*C9</f>
      </c>
      <c r="E9" s="13">
        <v>48</v>
      </c>
      <c r="F9" s="13">
        <f>$T$2</f>
      </c>
      <c r="G9" s="14">
        <f>1+($T$4/12)</f>
      </c>
      <c r="H9" s="15">
        <f>(H8+F9)*G9</f>
      </c>
      <c r="I9" s="13">
        <v>89</v>
      </c>
      <c r="J9" s="13">
        <f>$T$2</f>
      </c>
      <c r="K9" s="14">
        <f>1+($T$4/12)</f>
      </c>
      <c r="L9" s="15">
        <f>(L8+J9)*K9</f>
      </c>
      <c r="M9" s="13">
        <v>130</v>
      </c>
      <c r="N9" s="13">
        <f>$T$2</f>
      </c>
      <c r="O9" s="14">
        <f>1+($T$4/12)</f>
      </c>
      <c r="P9" s="15">
        <f>(P8+N9)*O9</f>
      </c>
      <c r="Q9" s="16">
        <v>7</v>
      </c>
      <c r="R9" s="17">
        <f>R8+$T$3</f>
      </c>
      <c r="S9" s="5"/>
      <c r="T9" s="23">
        <f>NPER(T4/12,T2,0,-T7)</f>
      </c>
      <c r="U9" s="24" t="s">
        <v>11</v>
      </c>
      <c r="V9" s="25"/>
    </row>
    <row x14ac:dyDescent="0.25" r="10" customHeight="1" ht="18.75">
      <c r="A10" s="13">
        <v>8</v>
      </c>
      <c r="B10" s="13">
        <f>$T$2</f>
      </c>
      <c r="C10" s="14">
        <f>1+($T$4/12)</f>
      </c>
      <c r="D10" s="15">
        <f>(D9+B10)*C10</f>
      </c>
      <c r="E10" s="13">
        <v>49</v>
      </c>
      <c r="F10" s="13">
        <f>$T$2</f>
      </c>
      <c r="G10" s="14">
        <f>1+($T$4/12)</f>
      </c>
      <c r="H10" s="15">
        <f>(H9+F10)*G10</f>
      </c>
      <c r="I10" s="13">
        <v>90</v>
      </c>
      <c r="J10" s="13">
        <f>$T$2</f>
      </c>
      <c r="K10" s="14">
        <f>1+($T$4/12)</f>
      </c>
      <c r="L10" s="15">
        <f>(L9+J10)*K10</f>
      </c>
      <c r="M10" s="13">
        <v>131</v>
      </c>
      <c r="N10" s="13">
        <f>$T$2</f>
      </c>
      <c r="O10" s="14">
        <f>1+($T$4/12)</f>
      </c>
      <c r="P10" s="15">
        <f>(P9+N10)*O10</f>
      </c>
      <c r="Q10" s="16">
        <v>8</v>
      </c>
      <c r="R10" s="17">
        <f>R9+$T$3</f>
      </c>
      <c r="S10" s="5"/>
      <c r="T10" s="26">
        <f>T9/12</f>
      </c>
      <c r="U10" s="27" t="s">
        <v>12</v>
      </c>
      <c r="V10" s="28"/>
    </row>
    <row x14ac:dyDescent="0.25" r="11" customHeight="1" ht="18.75">
      <c r="A11" s="13">
        <v>9</v>
      </c>
      <c r="B11" s="13">
        <f>$T$2</f>
      </c>
      <c r="C11" s="14">
        <f>1+($T$4/12)</f>
      </c>
      <c r="D11" s="15">
        <f>(D10+B11)*C11</f>
      </c>
      <c r="E11" s="13">
        <v>50</v>
      </c>
      <c r="F11" s="13">
        <f>$T$2</f>
      </c>
      <c r="G11" s="14">
        <f>1+($T$4/12)</f>
      </c>
      <c r="H11" s="15">
        <f>(H10+F11)*G11</f>
      </c>
      <c r="I11" s="13">
        <v>91</v>
      </c>
      <c r="J11" s="13">
        <f>$T$2</f>
      </c>
      <c r="K11" s="14">
        <f>1+($T$4/12)</f>
      </c>
      <c r="L11" s="15">
        <f>(L10+J11)*K11</f>
      </c>
      <c r="M11" s="13">
        <v>132</v>
      </c>
      <c r="N11" s="13">
        <f>$T$2</f>
      </c>
      <c r="O11" s="14">
        <f>1+($T$4/12)</f>
      </c>
      <c r="P11" s="15">
        <f>(P10+N11)*O11</f>
      </c>
      <c r="Q11" s="16">
        <v>9</v>
      </c>
      <c r="R11" s="17">
        <f>R10+$T$3</f>
      </c>
      <c r="S11" s="5"/>
      <c r="T11" s="2"/>
      <c r="U11" s="5"/>
      <c r="V11" s="5"/>
    </row>
    <row x14ac:dyDescent="0.25" r="12" customHeight="1" ht="18.75">
      <c r="A12" s="13">
        <v>10</v>
      </c>
      <c r="B12" s="13">
        <f>$T$2</f>
      </c>
      <c r="C12" s="14">
        <f>1+($T$4/12)</f>
      </c>
      <c r="D12" s="15">
        <f>(D11+B12)*C12</f>
      </c>
      <c r="E12" s="13">
        <v>51</v>
      </c>
      <c r="F12" s="13">
        <f>$T$2</f>
      </c>
      <c r="G12" s="14">
        <f>1+($T$4/12)</f>
      </c>
      <c r="H12" s="15">
        <f>(H11+F12)*G12</f>
      </c>
      <c r="I12" s="13">
        <v>92</v>
      </c>
      <c r="J12" s="13">
        <f>$T$2</f>
      </c>
      <c r="K12" s="14">
        <f>1+($T$4/12)</f>
      </c>
      <c r="L12" s="15">
        <f>(L11+J12)*K12</f>
      </c>
      <c r="M12" s="13">
        <v>133</v>
      </c>
      <c r="N12" s="13">
        <f>$T$2</f>
      </c>
      <c r="O12" s="14">
        <f>1+($T$4/12)</f>
      </c>
      <c r="P12" s="15">
        <f>(P11+N12)*O12</f>
      </c>
      <c r="Q12" s="16">
        <v>10</v>
      </c>
      <c r="R12" s="17">
        <f>R11+$T$3</f>
      </c>
      <c r="S12" s="5"/>
      <c r="T12" s="2"/>
      <c r="U12" s="5"/>
      <c r="V12" s="5"/>
    </row>
    <row x14ac:dyDescent="0.25" r="13" customHeight="1" ht="18.75">
      <c r="A13" s="13">
        <v>11</v>
      </c>
      <c r="B13" s="13">
        <f>$T$2</f>
      </c>
      <c r="C13" s="14">
        <f>1+($T$4/12)</f>
      </c>
      <c r="D13" s="15">
        <f>(D12+B13)*C13</f>
      </c>
      <c r="E13" s="13">
        <v>52</v>
      </c>
      <c r="F13" s="13">
        <f>$T$2</f>
      </c>
      <c r="G13" s="14">
        <f>1+($T$4/12)</f>
      </c>
      <c r="H13" s="15">
        <f>(H12+F13)*G13</f>
      </c>
      <c r="I13" s="13">
        <v>93</v>
      </c>
      <c r="J13" s="13">
        <f>$T$2</f>
      </c>
      <c r="K13" s="14">
        <f>1+($T$4/12)</f>
      </c>
      <c r="L13" s="15">
        <f>(L12+J13)*K13</f>
      </c>
      <c r="M13" s="13">
        <v>134</v>
      </c>
      <c r="N13" s="13">
        <f>$T$2</f>
      </c>
      <c r="O13" s="14">
        <f>1+($T$4/12)</f>
      </c>
      <c r="P13" s="15">
        <f>(P12+N13)*O13</f>
      </c>
      <c r="Q13" s="16">
        <v>11</v>
      </c>
      <c r="R13" s="17">
        <f>R12+$T$3</f>
      </c>
      <c r="S13" s="5"/>
      <c r="T13" s="2"/>
      <c r="U13" s="5"/>
      <c r="V13" s="5"/>
    </row>
    <row x14ac:dyDescent="0.25" r="14" customHeight="1" ht="18.75">
      <c r="A14" s="13">
        <v>12</v>
      </c>
      <c r="B14" s="13">
        <f>$T$2</f>
      </c>
      <c r="C14" s="14">
        <f>1+($T$4/12)</f>
      </c>
      <c r="D14" s="15">
        <f>(D13+B14)*C14</f>
      </c>
      <c r="E14" s="13">
        <v>53</v>
      </c>
      <c r="F14" s="13">
        <f>$T$2</f>
      </c>
      <c r="G14" s="14">
        <f>1+($T$4/12)</f>
      </c>
      <c r="H14" s="15">
        <f>(H13+F14)*G14</f>
      </c>
      <c r="I14" s="13">
        <v>94</v>
      </c>
      <c r="J14" s="13">
        <f>$T$2</f>
      </c>
      <c r="K14" s="14">
        <f>1+($T$4/12)</f>
      </c>
      <c r="L14" s="15">
        <f>(L13+J14)*K14</f>
      </c>
      <c r="M14" s="13">
        <v>135</v>
      </c>
      <c r="N14" s="13">
        <f>$T$2</f>
      </c>
      <c r="O14" s="14">
        <f>1+($T$4/12)</f>
      </c>
      <c r="P14" s="15">
        <f>(P13+N14)*O14</f>
      </c>
      <c r="Q14" s="16">
        <v>12</v>
      </c>
      <c r="R14" s="17">
        <f>R13+$T$3</f>
      </c>
      <c r="S14" s="5"/>
      <c r="T14" s="2"/>
      <c r="U14" s="5"/>
      <c r="V14" s="5"/>
    </row>
    <row x14ac:dyDescent="0.25" r="15" customHeight="1" ht="18.75">
      <c r="A15" s="13">
        <v>13</v>
      </c>
      <c r="B15" s="13">
        <f>$T$2</f>
      </c>
      <c r="C15" s="14">
        <f>1+($T$4/12)</f>
      </c>
      <c r="D15" s="15">
        <f>(D14+B15)*C15</f>
      </c>
      <c r="E15" s="13">
        <v>54</v>
      </c>
      <c r="F15" s="13">
        <f>$T$2</f>
      </c>
      <c r="G15" s="14">
        <f>1+($T$4/12)</f>
      </c>
      <c r="H15" s="15">
        <f>(H14+F15)*G15</f>
      </c>
      <c r="I15" s="13">
        <v>95</v>
      </c>
      <c r="J15" s="13">
        <f>$T$2</f>
      </c>
      <c r="K15" s="14">
        <f>1+($T$4/12)</f>
      </c>
      <c r="L15" s="15">
        <f>(L14+J15)*K15</f>
      </c>
      <c r="M15" s="13">
        <v>136</v>
      </c>
      <c r="N15" s="13">
        <f>$T$2</f>
      </c>
      <c r="O15" s="14">
        <f>1+($T$4/12)</f>
      </c>
      <c r="P15" s="15">
        <f>(P14+N15)*O15</f>
      </c>
      <c r="Q15" s="16">
        <v>13</v>
      </c>
      <c r="R15" s="17">
        <f>R14+$T$3</f>
      </c>
      <c r="S15" s="5"/>
      <c r="T15" s="2"/>
      <c r="U15" s="5"/>
      <c r="V15" s="5"/>
    </row>
    <row x14ac:dyDescent="0.25" r="16" customHeight="1" ht="18.75">
      <c r="A16" s="13">
        <v>14</v>
      </c>
      <c r="B16" s="13">
        <f>$T$2</f>
      </c>
      <c r="C16" s="14">
        <f>1+($T$4/12)</f>
      </c>
      <c r="D16" s="15">
        <f>(D15+B16)*C16</f>
      </c>
      <c r="E16" s="13">
        <v>55</v>
      </c>
      <c r="F16" s="13">
        <f>$T$2</f>
      </c>
      <c r="G16" s="14">
        <f>1+($T$4/12)</f>
      </c>
      <c r="H16" s="15">
        <f>(H15+F16)*G16</f>
      </c>
      <c r="I16" s="13">
        <v>96</v>
      </c>
      <c r="J16" s="13">
        <f>$T$2</f>
      </c>
      <c r="K16" s="14">
        <f>1+($T$4/12)</f>
      </c>
      <c r="L16" s="15">
        <f>(L15+J16)*K16</f>
      </c>
      <c r="M16" s="13">
        <v>137</v>
      </c>
      <c r="N16" s="13">
        <f>$T$2</f>
      </c>
      <c r="O16" s="14">
        <f>1+($T$4/12)</f>
      </c>
      <c r="P16" s="15">
        <f>(P15+N16)*O16</f>
      </c>
      <c r="Q16" s="16">
        <v>14</v>
      </c>
      <c r="R16" s="17">
        <f>R15+$T$3</f>
      </c>
      <c r="S16" s="5"/>
      <c r="T16" s="2"/>
      <c r="U16" s="5"/>
      <c r="V16" s="5"/>
    </row>
    <row x14ac:dyDescent="0.25" r="17" customHeight="1" ht="18.75">
      <c r="A17" s="13">
        <v>15</v>
      </c>
      <c r="B17" s="13">
        <f>$T$2</f>
      </c>
      <c r="C17" s="14">
        <f>1+($T$4/12)</f>
      </c>
      <c r="D17" s="15">
        <f>(D16+B17)*C17</f>
      </c>
      <c r="E17" s="13">
        <v>56</v>
      </c>
      <c r="F17" s="13">
        <f>$T$2</f>
      </c>
      <c r="G17" s="14">
        <f>1+($T$4/12)</f>
      </c>
      <c r="H17" s="15">
        <f>(H16+F17)*G17</f>
      </c>
      <c r="I17" s="13">
        <v>97</v>
      </c>
      <c r="J17" s="13">
        <f>$T$2</f>
      </c>
      <c r="K17" s="14">
        <f>1+($T$4/12)</f>
      </c>
      <c r="L17" s="15">
        <f>(L16+J17)*K17</f>
      </c>
      <c r="M17" s="13">
        <v>138</v>
      </c>
      <c r="N17" s="13">
        <f>$T$2</f>
      </c>
      <c r="O17" s="14">
        <f>1+($T$4/12)</f>
      </c>
      <c r="P17" s="15">
        <f>(P16+N17)*O17</f>
      </c>
      <c r="Q17" s="16">
        <v>15</v>
      </c>
      <c r="R17" s="17">
        <f>R16+$T$3</f>
      </c>
      <c r="S17" s="5"/>
      <c r="T17" s="2"/>
      <c r="U17" s="5"/>
      <c r="V17" s="5"/>
    </row>
    <row x14ac:dyDescent="0.25" r="18" customHeight="1" ht="18.75">
      <c r="A18" s="13">
        <v>16</v>
      </c>
      <c r="B18" s="13">
        <f>$T$2</f>
      </c>
      <c r="C18" s="14">
        <f>1+($T$4/12)</f>
      </c>
      <c r="D18" s="15">
        <f>(D17+B18)*C18</f>
      </c>
      <c r="E18" s="13">
        <v>57</v>
      </c>
      <c r="F18" s="13">
        <f>$T$2</f>
      </c>
      <c r="G18" s="14">
        <f>1+($T$4/12)</f>
      </c>
      <c r="H18" s="15">
        <f>(H17+F18)*G18</f>
      </c>
      <c r="I18" s="13">
        <v>98</v>
      </c>
      <c r="J18" s="13">
        <f>$T$2</f>
      </c>
      <c r="K18" s="14">
        <f>1+($T$4/12)</f>
      </c>
      <c r="L18" s="15">
        <f>(L17+J18)*K18</f>
      </c>
      <c r="M18" s="13">
        <v>139</v>
      </c>
      <c r="N18" s="13">
        <f>$T$2</f>
      </c>
      <c r="O18" s="14">
        <f>1+($T$4/12)</f>
      </c>
      <c r="P18" s="15">
        <f>(P17+N18)*O18</f>
      </c>
      <c r="Q18" s="16">
        <v>16</v>
      </c>
      <c r="R18" s="17">
        <f>R17+$T$3</f>
      </c>
      <c r="S18" s="5"/>
      <c r="T18" s="2"/>
      <c r="U18" s="5"/>
      <c r="V18" s="5"/>
    </row>
    <row x14ac:dyDescent="0.25" r="19" customHeight="1" ht="18.75">
      <c r="A19" s="13">
        <v>17</v>
      </c>
      <c r="B19" s="13">
        <f>$T$2</f>
      </c>
      <c r="C19" s="14">
        <f>1+($T$4/12)</f>
      </c>
      <c r="D19" s="15">
        <f>(D18+B19)*C19</f>
      </c>
      <c r="E19" s="13">
        <v>58</v>
      </c>
      <c r="F19" s="13">
        <f>$T$2</f>
      </c>
      <c r="G19" s="14">
        <f>1+($T$4/12)</f>
      </c>
      <c r="H19" s="15">
        <f>(H18+F19)*G19</f>
      </c>
      <c r="I19" s="13">
        <v>99</v>
      </c>
      <c r="J19" s="13">
        <f>$T$2</f>
      </c>
      <c r="K19" s="14">
        <f>1+($T$4/12)</f>
      </c>
      <c r="L19" s="15">
        <f>(L18+J19)*K19</f>
      </c>
      <c r="M19" s="13">
        <v>140</v>
      </c>
      <c r="N19" s="13">
        <f>$T$2</f>
      </c>
      <c r="O19" s="14">
        <f>1+($T$4/12)</f>
      </c>
      <c r="P19" s="15">
        <f>(P18+N19)*O19</f>
      </c>
      <c r="Q19" s="16">
        <v>17</v>
      </c>
      <c r="R19" s="17">
        <f>R18+$T$3</f>
      </c>
      <c r="S19" s="5"/>
      <c r="T19" s="2"/>
      <c r="U19" s="5"/>
      <c r="V19" s="5"/>
    </row>
    <row x14ac:dyDescent="0.25" r="20" customHeight="1" ht="18.75">
      <c r="A20" s="13">
        <v>18</v>
      </c>
      <c r="B20" s="13">
        <f>$T$2</f>
      </c>
      <c r="C20" s="14">
        <f>1+($T$4/12)</f>
      </c>
      <c r="D20" s="15">
        <f>(D19+B20)*C20</f>
      </c>
      <c r="E20" s="13">
        <v>59</v>
      </c>
      <c r="F20" s="13">
        <f>$T$2</f>
      </c>
      <c r="G20" s="14">
        <f>1+($T$4/12)</f>
      </c>
      <c r="H20" s="15">
        <f>(H19+F20)*G20</f>
      </c>
      <c r="I20" s="13">
        <v>100</v>
      </c>
      <c r="J20" s="13">
        <f>$T$2</f>
      </c>
      <c r="K20" s="14">
        <f>1+($T$4/12)</f>
      </c>
      <c r="L20" s="15">
        <f>(L19+J20)*K20</f>
      </c>
      <c r="M20" s="13">
        <v>141</v>
      </c>
      <c r="N20" s="13">
        <f>$T$2</f>
      </c>
      <c r="O20" s="14">
        <f>1+($T$4/12)</f>
      </c>
      <c r="P20" s="15">
        <f>(P19+N20)*O20</f>
      </c>
      <c r="Q20" s="16">
        <v>18</v>
      </c>
      <c r="R20" s="17">
        <f>R19+$T$3</f>
      </c>
      <c r="S20" s="5"/>
      <c r="T20" s="2"/>
      <c r="U20" s="5"/>
      <c r="V20" s="5"/>
    </row>
    <row x14ac:dyDescent="0.25" r="21" customHeight="1" ht="18.75">
      <c r="A21" s="13">
        <v>19</v>
      </c>
      <c r="B21" s="13">
        <f>$T$2</f>
      </c>
      <c r="C21" s="14">
        <f>1+($T$4/12)</f>
      </c>
      <c r="D21" s="15">
        <f>(D20+B21)*C21</f>
      </c>
      <c r="E21" s="13">
        <v>60</v>
      </c>
      <c r="F21" s="13">
        <f>$T$2</f>
      </c>
      <c r="G21" s="14">
        <f>1+($T$4/12)</f>
      </c>
      <c r="H21" s="15">
        <f>(H20+F21)*G21</f>
      </c>
      <c r="I21" s="13">
        <v>101</v>
      </c>
      <c r="J21" s="13">
        <f>$T$2</f>
      </c>
      <c r="K21" s="14">
        <f>1+($T$4/12)</f>
      </c>
      <c r="L21" s="15">
        <f>(L20+J21)*K21</f>
      </c>
      <c r="M21" s="13">
        <v>142</v>
      </c>
      <c r="N21" s="13">
        <f>$T$2</f>
      </c>
      <c r="O21" s="14">
        <f>1+($T$4/12)</f>
      </c>
      <c r="P21" s="15">
        <f>(P20+N21)*O21</f>
      </c>
      <c r="Q21" s="16">
        <v>19</v>
      </c>
      <c r="R21" s="17">
        <f>R20+$T$3</f>
      </c>
      <c r="S21" s="5"/>
      <c r="T21" s="2"/>
      <c r="U21" s="5"/>
      <c r="V21" s="5"/>
    </row>
    <row x14ac:dyDescent="0.25" r="22" customHeight="1" ht="18.75">
      <c r="A22" s="13">
        <v>20</v>
      </c>
      <c r="B22" s="13">
        <f>$T$2</f>
      </c>
      <c r="C22" s="14">
        <f>1+($T$4/12)</f>
      </c>
      <c r="D22" s="15">
        <f>(D21+B22)*C22</f>
      </c>
      <c r="E22" s="13">
        <v>61</v>
      </c>
      <c r="F22" s="13">
        <f>$T$2</f>
      </c>
      <c r="G22" s="14">
        <f>1+($T$4/12)</f>
      </c>
      <c r="H22" s="15">
        <f>(H21+F22)*G22</f>
      </c>
      <c r="I22" s="13">
        <v>102</v>
      </c>
      <c r="J22" s="13">
        <f>$T$2</f>
      </c>
      <c r="K22" s="14">
        <f>1+($T$4/12)</f>
      </c>
      <c r="L22" s="15">
        <f>(L21+J22)*K22</f>
      </c>
      <c r="M22" s="13">
        <v>143</v>
      </c>
      <c r="N22" s="13">
        <f>$T$2</f>
      </c>
      <c r="O22" s="14">
        <f>1+($T$4/12)</f>
      </c>
      <c r="P22" s="15">
        <f>(P21+N22)*O22</f>
      </c>
      <c r="Q22" s="16">
        <v>20</v>
      </c>
      <c r="R22" s="17">
        <f>R21+$T$3</f>
      </c>
      <c r="S22" s="5"/>
      <c r="T22" s="2"/>
      <c r="U22" s="5"/>
      <c r="V22" s="5"/>
    </row>
    <row x14ac:dyDescent="0.25" r="23" customHeight="1" ht="18.75">
      <c r="A23" s="13">
        <v>21</v>
      </c>
      <c r="B23" s="13">
        <f>$T$2</f>
      </c>
      <c r="C23" s="14">
        <f>1+($T$4/12)</f>
      </c>
      <c r="D23" s="15">
        <f>(D22+B23)*C23</f>
      </c>
      <c r="E23" s="13">
        <v>62</v>
      </c>
      <c r="F23" s="13">
        <f>$T$2</f>
      </c>
      <c r="G23" s="14">
        <f>1+($T$4/12)</f>
      </c>
      <c r="H23" s="15">
        <f>(H22+F23)*G23</f>
      </c>
      <c r="I23" s="13">
        <v>103</v>
      </c>
      <c r="J23" s="13">
        <f>$T$2</f>
      </c>
      <c r="K23" s="14">
        <f>1+($T$4/12)</f>
      </c>
      <c r="L23" s="15">
        <f>(L22+J23)*K23</f>
      </c>
      <c r="M23" s="13">
        <v>144</v>
      </c>
      <c r="N23" s="13">
        <f>$T$2</f>
      </c>
      <c r="O23" s="14">
        <f>1+($T$4/12)</f>
      </c>
      <c r="P23" s="15">
        <f>(P22+N23)*O23</f>
      </c>
      <c r="Q23" s="16">
        <v>21</v>
      </c>
      <c r="R23" s="17">
        <f>R22+$T$3</f>
      </c>
      <c r="S23" s="5"/>
      <c r="T23" s="2"/>
      <c r="U23" s="5"/>
      <c r="V23" s="5"/>
    </row>
    <row x14ac:dyDescent="0.25" r="24" customHeight="1" ht="18.75">
      <c r="A24" s="13">
        <v>22</v>
      </c>
      <c r="B24" s="13">
        <f>$T$2</f>
      </c>
      <c r="C24" s="14">
        <f>1+($T$4/12)</f>
      </c>
      <c r="D24" s="15">
        <f>(D23+B24)*C24</f>
      </c>
      <c r="E24" s="13">
        <v>63</v>
      </c>
      <c r="F24" s="13">
        <f>$T$2</f>
      </c>
      <c r="G24" s="14">
        <f>1+($T$4/12)</f>
      </c>
      <c r="H24" s="15">
        <f>(H23+F24)*G24</f>
      </c>
      <c r="I24" s="13">
        <v>104</v>
      </c>
      <c r="J24" s="13">
        <f>$T$2</f>
      </c>
      <c r="K24" s="14">
        <f>1+($T$4/12)</f>
      </c>
      <c r="L24" s="15">
        <f>(L23+J24)*K24</f>
      </c>
      <c r="M24" s="13">
        <v>145</v>
      </c>
      <c r="N24" s="13">
        <f>$T$2</f>
      </c>
      <c r="O24" s="14">
        <f>1+($T$4/12)</f>
      </c>
      <c r="P24" s="15">
        <f>(P23+N24)*O24</f>
      </c>
      <c r="Q24" s="16">
        <v>22</v>
      </c>
      <c r="R24" s="17">
        <f>R23+$T$3</f>
      </c>
      <c r="S24" s="5"/>
      <c r="T24" s="2"/>
      <c r="U24" s="5"/>
      <c r="V24" s="5"/>
    </row>
    <row x14ac:dyDescent="0.25" r="25" customHeight="1" ht="18.75">
      <c r="A25" s="13">
        <v>23</v>
      </c>
      <c r="B25" s="13">
        <f>$T$2</f>
      </c>
      <c r="C25" s="14">
        <f>1+($T$4/12)</f>
      </c>
      <c r="D25" s="15">
        <f>(D24+B25)*C25</f>
      </c>
      <c r="E25" s="13">
        <v>64</v>
      </c>
      <c r="F25" s="13">
        <f>$T$2</f>
      </c>
      <c r="G25" s="14">
        <f>1+($T$4/12)</f>
      </c>
      <c r="H25" s="15">
        <f>(H24+F25)*G25</f>
      </c>
      <c r="I25" s="13">
        <v>105</v>
      </c>
      <c r="J25" s="13">
        <f>$T$2</f>
      </c>
      <c r="K25" s="14">
        <f>1+($T$4/12)</f>
      </c>
      <c r="L25" s="15">
        <f>(L24+J25)*K25</f>
      </c>
      <c r="M25" s="13">
        <v>146</v>
      </c>
      <c r="N25" s="13">
        <f>$T$2</f>
      </c>
      <c r="O25" s="14">
        <f>1+($T$4/12)</f>
      </c>
      <c r="P25" s="15">
        <f>(P24+N25)*O25</f>
      </c>
      <c r="Q25" s="16">
        <v>23</v>
      </c>
      <c r="R25" s="17">
        <f>R24+$T$3</f>
      </c>
      <c r="S25" s="5"/>
      <c r="T25" s="2"/>
      <c r="U25" s="5"/>
      <c r="V25" s="5"/>
    </row>
    <row x14ac:dyDescent="0.25" r="26" customHeight="1" ht="18.75">
      <c r="A26" s="13">
        <v>24</v>
      </c>
      <c r="B26" s="13">
        <f>$T$2</f>
      </c>
      <c r="C26" s="14">
        <f>1+($T$4/12)</f>
      </c>
      <c r="D26" s="15">
        <f>(D25+B26)*C26</f>
      </c>
      <c r="E26" s="13">
        <v>65</v>
      </c>
      <c r="F26" s="13">
        <f>$T$2</f>
      </c>
      <c r="G26" s="14">
        <f>1+($T$4/12)</f>
      </c>
      <c r="H26" s="15">
        <f>(H25+F26)*G26</f>
      </c>
      <c r="I26" s="13">
        <v>106</v>
      </c>
      <c r="J26" s="13">
        <f>$T$2</f>
      </c>
      <c r="K26" s="14">
        <f>1+($T$4/12)</f>
      </c>
      <c r="L26" s="15">
        <f>(L25+J26)*K26</f>
      </c>
      <c r="M26" s="13">
        <v>147</v>
      </c>
      <c r="N26" s="13">
        <f>$T$2</f>
      </c>
      <c r="O26" s="14">
        <f>1+($T$4/12)</f>
      </c>
      <c r="P26" s="15">
        <f>(P25+N26)*O26</f>
      </c>
      <c r="Q26" s="16">
        <v>24</v>
      </c>
      <c r="R26" s="17">
        <f>R25+$T$3</f>
      </c>
      <c r="S26" s="5"/>
      <c r="T26" s="2"/>
      <c r="U26" s="5"/>
      <c r="V26" s="5"/>
    </row>
    <row x14ac:dyDescent="0.25" r="27" customHeight="1" ht="18.75">
      <c r="A27" s="13">
        <v>25</v>
      </c>
      <c r="B27" s="13">
        <f>$T$2</f>
      </c>
      <c r="C27" s="14">
        <f>1+($T$4/12)</f>
      </c>
      <c r="D27" s="15">
        <f>(D26+B27)*C27</f>
      </c>
      <c r="E27" s="13">
        <v>66</v>
      </c>
      <c r="F27" s="13">
        <f>$T$2</f>
      </c>
      <c r="G27" s="14">
        <f>1+($T$4/12)</f>
      </c>
      <c r="H27" s="15">
        <f>(H26+F27)*G27</f>
      </c>
      <c r="I27" s="13">
        <v>107</v>
      </c>
      <c r="J27" s="13">
        <f>$T$2</f>
      </c>
      <c r="K27" s="14">
        <f>1+($T$4/12)</f>
      </c>
      <c r="L27" s="15">
        <f>(L26+J27)*K27</f>
      </c>
      <c r="M27" s="13">
        <v>148</v>
      </c>
      <c r="N27" s="13">
        <f>$T$2</f>
      </c>
      <c r="O27" s="14">
        <f>1+($T$4/12)</f>
      </c>
      <c r="P27" s="15">
        <f>(P26+N27)*O27</f>
      </c>
      <c r="Q27" s="16">
        <v>25</v>
      </c>
      <c r="R27" s="17">
        <f>R26+$T$3</f>
      </c>
      <c r="S27" s="5"/>
      <c r="T27" s="2"/>
      <c r="U27" s="5"/>
      <c r="V27" s="5"/>
    </row>
    <row x14ac:dyDescent="0.25" r="28" customHeight="1" ht="18.75">
      <c r="A28" s="13">
        <v>26</v>
      </c>
      <c r="B28" s="13">
        <f>$T$2</f>
      </c>
      <c r="C28" s="14">
        <f>1+($T$4/12)</f>
      </c>
      <c r="D28" s="15">
        <f>(D27+B28)*C28</f>
      </c>
      <c r="E28" s="13">
        <v>67</v>
      </c>
      <c r="F28" s="13">
        <f>$T$2</f>
      </c>
      <c r="G28" s="14">
        <f>1+($T$4/12)</f>
      </c>
      <c r="H28" s="15">
        <f>(H27+F28)*G28</f>
      </c>
      <c r="I28" s="13">
        <v>108</v>
      </c>
      <c r="J28" s="13">
        <f>$T$2</f>
      </c>
      <c r="K28" s="14">
        <f>1+($T$4/12)</f>
      </c>
      <c r="L28" s="15">
        <f>(L27+J28)*K28</f>
      </c>
      <c r="M28" s="13">
        <v>149</v>
      </c>
      <c r="N28" s="13">
        <f>$T$2</f>
      </c>
      <c r="O28" s="14">
        <f>1+($T$4/12)</f>
      </c>
      <c r="P28" s="15">
        <f>(P27+N28)*O28</f>
      </c>
      <c r="Q28" s="16">
        <v>26</v>
      </c>
      <c r="R28" s="17">
        <f>R27+$T$3</f>
      </c>
      <c r="S28" s="5"/>
      <c r="T28" s="2"/>
      <c r="U28" s="5"/>
      <c r="V28" s="5"/>
    </row>
    <row x14ac:dyDescent="0.25" r="29" customHeight="1" ht="18.75">
      <c r="A29" s="13">
        <v>27</v>
      </c>
      <c r="B29" s="13">
        <f>$T$2</f>
      </c>
      <c r="C29" s="14">
        <f>1+($T$4/12)</f>
      </c>
      <c r="D29" s="15">
        <f>(D28+B29)*C29</f>
      </c>
      <c r="E29" s="13">
        <v>68</v>
      </c>
      <c r="F29" s="13">
        <f>$T$2</f>
      </c>
      <c r="G29" s="14">
        <f>1+($T$4/12)</f>
      </c>
      <c r="H29" s="15">
        <f>(H28+F29)*G29</f>
      </c>
      <c r="I29" s="13">
        <v>109</v>
      </c>
      <c r="J29" s="13">
        <f>$T$2</f>
      </c>
      <c r="K29" s="14">
        <f>1+($T$4/12)</f>
      </c>
      <c r="L29" s="15">
        <f>(L28+J29)*K29</f>
      </c>
      <c r="M29" s="13">
        <v>150</v>
      </c>
      <c r="N29" s="13">
        <f>$T$2</f>
      </c>
      <c r="O29" s="14">
        <f>1+($T$4/12)</f>
      </c>
      <c r="P29" s="15">
        <f>(P28+N29)*O29</f>
      </c>
      <c r="Q29" s="16">
        <v>27</v>
      </c>
      <c r="R29" s="17">
        <f>R28+$T$3</f>
      </c>
      <c r="S29" s="5"/>
      <c r="T29" s="2"/>
      <c r="U29" s="5"/>
      <c r="V29" s="5"/>
    </row>
    <row x14ac:dyDescent="0.25" r="30" customHeight="1" ht="18.75">
      <c r="A30" s="13">
        <v>28</v>
      </c>
      <c r="B30" s="13">
        <f>$T$2</f>
      </c>
      <c r="C30" s="14">
        <f>1+($T$4/12)</f>
      </c>
      <c r="D30" s="15">
        <f>(D29+B30)*C30</f>
      </c>
      <c r="E30" s="13">
        <v>69</v>
      </c>
      <c r="F30" s="13">
        <f>$T$2</f>
      </c>
      <c r="G30" s="14">
        <f>1+($T$4/12)</f>
      </c>
      <c r="H30" s="15">
        <f>(H29+F30)*G30</f>
      </c>
      <c r="I30" s="13">
        <v>110</v>
      </c>
      <c r="J30" s="13">
        <f>$T$2</f>
      </c>
      <c r="K30" s="14">
        <f>1+($T$4/12)</f>
      </c>
      <c r="L30" s="15">
        <f>(L29+J30)*K30</f>
      </c>
      <c r="M30" s="13">
        <v>151</v>
      </c>
      <c r="N30" s="13">
        <f>$T$2</f>
      </c>
      <c r="O30" s="14">
        <f>1+($T$4/12)</f>
      </c>
      <c r="P30" s="15">
        <f>(P29+N30)*O30</f>
      </c>
      <c r="Q30" s="16">
        <v>28</v>
      </c>
      <c r="R30" s="17">
        <f>R29+$T$3</f>
      </c>
      <c r="S30" s="5"/>
      <c r="T30" s="2"/>
      <c r="U30" s="5"/>
      <c r="V30" s="5"/>
    </row>
    <row x14ac:dyDescent="0.25" r="31" customHeight="1" ht="18.75">
      <c r="A31" s="13">
        <v>29</v>
      </c>
      <c r="B31" s="13">
        <f>$T$2</f>
      </c>
      <c r="C31" s="14">
        <f>1+($T$4/12)</f>
      </c>
      <c r="D31" s="15">
        <f>(D30+B31)*C31</f>
      </c>
      <c r="E31" s="13">
        <v>70</v>
      </c>
      <c r="F31" s="13">
        <f>$T$2</f>
      </c>
      <c r="G31" s="14">
        <f>1+($T$4/12)</f>
      </c>
      <c r="H31" s="15">
        <f>(H30+F31)*G31</f>
      </c>
      <c r="I31" s="13">
        <v>111</v>
      </c>
      <c r="J31" s="13">
        <f>$T$2</f>
      </c>
      <c r="K31" s="14">
        <f>1+($T$4/12)</f>
      </c>
      <c r="L31" s="15">
        <f>(L30+J31)*K31</f>
      </c>
      <c r="M31" s="13">
        <v>152</v>
      </c>
      <c r="N31" s="13">
        <f>$T$2</f>
      </c>
      <c r="O31" s="14">
        <f>1+($T$4/12)</f>
      </c>
      <c r="P31" s="15">
        <f>(P30+N31)*O31</f>
      </c>
      <c r="Q31" s="16">
        <v>29</v>
      </c>
      <c r="R31" s="17">
        <f>R30+$T$3</f>
      </c>
      <c r="S31" s="5"/>
      <c r="T31" s="2"/>
      <c r="U31" s="5"/>
      <c r="V31" s="5"/>
    </row>
    <row x14ac:dyDescent="0.25" r="32" customHeight="1" ht="18.75">
      <c r="A32" s="13">
        <v>30</v>
      </c>
      <c r="B32" s="13">
        <f>$T$2</f>
      </c>
      <c r="C32" s="14">
        <f>1+($T$4/12)</f>
      </c>
      <c r="D32" s="15">
        <f>(D31+B32)*C32</f>
      </c>
      <c r="E32" s="13">
        <v>71</v>
      </c>
      <c r="F32" s="13">
        <f>$T$2</f>
      </c>
      <c r="G32" s="14">
        <f>1+($T$4/12)</f>
      </c>
      <c r="H32" s="15">
        <f>(H31+F32)*G32</f>
      </c>
      <c r="I32" s="13">
        <v>112</v>
      </c>
      <c r="J32" s="13">
        <f>$T$2</f>
      </c>
      <c r="K32" s="14">
        <f>1+($T$4/12)</f>
      </c>
      <c r="L32" s="15">
        <f>(L31+J32)*K32</f>
      </c>
      <c r="M32" s="13">
        <v>153</v>
      </c>
      <c r="N32" s="13">
        <f>$T$2</f>
      </c>
      <c r="O32" s="14">
        <f>1+($T$4/12)</f>
      </c>
      <c r="P32" s="15">
        <f>(P31+N32)*O32</f>
      </c>
      <c r="Q32" s="16">
        <v>30</v>
      </c>
      <c r="R32" s="17">
        <f>R31+$T$3</f>
      </c>
      <c r="S32" s="5"/>
      <c r="T32" s="2"/>
      <c r="U32" s="5"/>
      <c r="V32" s="5"/>
    </row>
    <row x14ac:dyDescent="0.25" r="33" customHeight="1" ht="18.75">
      <c r="A33" s="13">
        <v>31</v>
      </c>
      <c r="B33" s="13">
        <f>$T$2</f>
      </c>
      <c r="C33" s="14">
        <f>1+($T$4/12)</f>
      </c>
      <c r="D33" s="15">
        <f>(D32+B33)*C33</f>
      </c>
      <c r="E33" s="13">
        <v>72</v>
      </c>
      <c r="F33" s="13">
        <f>$T$2</f>
      </c>
      <c r="G33" s="14">
        <f>1+($T$4/12)</f>
      </c>
      <c r="H33" s="15">
        <f>(H32+F33)*G33</f>
      </c>
      <c r="I33" s="13">
        <v>113</v>
      </c>
      <c r="J33" s="13">
        <f>$T$2</f>
      </c>
      <c r="K33" s="14">
        <f>1+($T$4/12)</f>
      </c>
      <c r="L33" s="15">
        <f>(L32+J33)*K33</f>
      </c>
      <c r="M33" s="13">
        <v>154</v>
      </c>
      <c r="N33" s="13">
        <f>$T$2</f>
      </c>
      <c r="O33" s="14">
        <f>1+($T$4/12)</f>
      </c>
      <c r="P33" s="15">
        <f>(P32+N33)*O33</f>
      </c>
      <c r="Q33" s="16">
        <v>31</v>
      </c>
      <c r="R33" s="17">
        <f>R32+$T$3</f>
      </c>
      <c r="S33" s="5"/>
      <c r="T33" s="2"/>
      <c r="U33" s="5"/>
      <c r="V33" s="5"/>
    </row>
    <row x14ac:dyDescent="0.25" r="34" customHeight="1" ht="18.75">
      <c r="A34" s="13">
        <v>32</v>
      </c>
      <c r="B34" s="13">
        <f>$T$2</f>
      </c>
      <c r="C34" s="14">
        <f>1+($T$4/12)</f>
      </c>
      <c r="D34" s="15">
        <f>(D33+B34)*C34</f>
      </c>
      <c r="E34" s="13">
        <v>73</v>
      </c>
      <c r="F34" s="13">
        <f>$T$2</f>
      </c>
      <c r="G34" s="14">
        <f>1+($T$4/12)</f>
      </c>
      <c r="H34" s="15">
        <f>(H33+F34)*G34</f>
      </c>
      <c r="I34" s="13">
        <v>114</v>
      </c>
      <c r="J34" s="13">
        <f>$T$2</f>
      </c>
      <c r="K34" s="14">
        <f>1+($T$4/12)</f>
      </c>
      <c r="L34" s="15">
        <f>(L33+J34)*K34</f>
      </c>
      <c r="M34" s="13">
        <v>155</v>
      </c>
      <c r="N34" s="13">
        <f>$T$2</f>
      </c>
      <c r="O34" s="14">
        <f>1+($T$4/12)</f>
      </c>
      <c r="P34" s="15">
        <f>(P33+N34)*O34</f>
      </c>
      <c r="Q34" s="16">
        <v>32</v>
      </c>
      <c r="R34" s="17">
        <f>R33+$T$3</f>
      </c>
      <c r="S34" s="5"/>
      <c r="T34" s="2"/>
      <c r="U34" s="5"/>
      <c r="V34" s="5"/>
    </row>
    <row x14ac:dyDescent="0.25" r="35" customHeight="1" ht="18.75">
      <c r="A35" s="13">
        <v>33</v>
      </c>
      <c r="B35" s="13">
        <f>$T$2</f>
      </c>
      <c r="C35" s="14">
        <f>1+($T$4/12)</f>
      </c>
      <c r="D35" s="15">
        <f>(D34+B35)*C35</f>
      </c>
      <c r="E35" s="13">
        <v>74</v>
      </c>
      <c r="F35" s="13">
        <f>$T$2</f>
      </c>
      <c r="G35" s="14">
        <f>1+($T$4/12)</f>
      </c>
      <c r="H35" s="15">
        <f>(H34+F35)*G35</f>
      </c>
      <c r="I35" s="13">
        <v>115</v>
      </c>
      <c r="J35" s="13">
        <f>$T$2</f>
      </c>
      <c r="K35" s="14">
        <f>1+($T$4/12)</f>
      </c>
      <c r="L35" s="15">
        <f>(L34+J35)*K35</f>
      </c>
      <c r="M35" s="13">
        <v>156</v>
      </c>
      <c r="N35" s="13">
        <f>$T$2</f>
      </c>
      <c r="O35" s="14">
        <f>1+($T$4/12)</f>
      </c>
      <c r="P35" s="15">
        <f>(P34+N35)*O35</f>
      </c>
      <c r="Q35" s="16">
        <v>33</v>
      </c>
      <c r="R35" s="17">
        <f>R34+$T$3</f>
      </c>
      <c r="S35" s="5"/>
      <c r="T35" s="2"/>
      <c r="U35" s="5"/>
      <c r="V35" s="5"/>
    </row>
    <row x14ac:dyDescent="0.25" r="36" customHeight="1" ht="18.75">
      <c r="A36" s="13">
        <v>34</v>
      </c>
      <c r="B36" s="13">
        <f>$T$2</f>
      </c>
      <c r="C36" s="14">
        <f>1+($T$4/12)</f>
      </c>
      <c r="D36" s="15">
        <f>(D35+B36)*C36</f>
      </c>
      <c r="E36" s="13">
        <v>75</v>
      </c>
      <c r="F36" s="13">
        <f>$T$2</f>
      </c>
      <c r="G36" s="14">
        <f>1+($T$4/12)</f>
      </c>
      <c r="H36" s="15">
        <f>(H35+F36)*G36</f>
      </c>
      <c r="I36" s="13">
        <v>116</v>
      </c>
      <c r="J36" s="13">
        <f>$T$2</f>
      </c>
      <c r="K36" s="14">
        <f>1+($T$4/12)</f>
      </c>
      <c r="L36" s="15">
        <f>(L35+J36)*K36</f>
      </c>
      <c r="M36" s="13">
        <v>157</v>
      </c>
      <c r="N36" s="13">
        <f>$T$2</f>
      </c>
      <c r="O36" s="14">
        <f>1+($T$4/12)</f>
      </c>
      <c r="P36" s="15">
        <f>(P35+N36)*O36</f>
      </c>
      <c r="Q36" s="16">
        <v>34</v>
      </c>
      <c r="R36" s="17">
        <f>R35+$T$3</f>
      </c>
      <c r="S36" s="5"/>
      <c r="T36" s="2"/>
      <c r="U36" s="5"/>
      <c r="V36" s="5"/>
    </row>
    <row x14ac:dyDescent="0.25" r="37" customHeight="1" ht="18.75">
      <c r="A37" s="13">
        <v>35</v>
      </c>
      <c r="B37" s="13">
        <f>$T$2</f>
      </c>
      <c r="C37" s="14">
        <f>1+($T$4/12)</f>
      </c>
      <c r="D37" s="15">
        <f>(D36+B37)*C37</f>
      </c>
      <c r="E37" s="13">
        <v>76</v>
      </c>
      <c r="F37" s="13">
        <f>$T$2</f>
      </c>
      <c r="G37" s="14">
        <f>1+($T$4/12)</f>
      </c>
      <c r="H37" s="15">
        <f>(H36+F37)*G37</f>
      </c>
      <c r="I37" s="13">
        <v>117</v>
      </c>
      <c r="J37" s="13">
        <f>$T$2</f>
      </c>
      <c r="K37" s="14">
        <f>1+($T$4/12)</f>
      </c>
      <c r="L37" s="15">
        <f>(L36+J37)*K37</f>
      </c>
      <c r="M37" s="13">
        <v>158</v>
      </c>
      <c r="N37" s="13">
        <f>$T$2</f>
      </c>
      <c r="O37" s="14">
        <f>1+($T$4/12)</f>
      </c>
      <c r="P37" s="15">
        <f>(P36+N37)*O37</f>
      </c>
      <c r="Q37" s="16">
        <v>35</v>
      </c>
      <c r="R37" s="17">
        <f>R36+$T$3</f>
      </c>
      <c r="S37" s="5"/>
      <c r="T37" s="2"/>
      <c r="U37" s="5"/>
      <c r="V37" s="5"/>
    </row>
    <row x14ac:dyDescent="0.25" r="38" customHeight="1" ht="18.75">
      <c r="A38" s="13">
        <v>36</v>
      </c>
      <c r="B38" s="13">
        <f>$T$2</f>
      </c>
      <c r="C38" s="14">
        <f>1+($T$4/12)</f>
      </c>
      <c r="D38" s="15">
        <f>(D37+B38)*C38</f>
      </c>
      <c r="E38" s="13">
        <v>77</v>
      </c>
      <c r="F38" s="13">
        <f>$T$2</f>
      </c>
      <c r="G38" s="14">
        <f>1+($T$4/12)</f>
      </c>
      <c r="H38" s="15">
        <f>(H37+F38)*G38</f>
      </c>
      <c r="I38" s="13">
        <v>118</v>
      </c>
      <c r="J38" s="13">
        <f>$T$2</f>
      </c>
      <c r="K38" s="14">
        <f>1+($T$4/12)</f>
      </c>
      <c r="L38" s="15">
        <f>(L37+J38)*K38</f>
      </c>
      <c r="M38" s="13">
        <v>159</v>
      </c>
      <c r="N38" s="13">
        <f>$T$2</f>
      </c>
      <c r="O38" s="14">
        <f>1+($T$4/12)</f>
      </c>
      <c r="P38" s="15">
        <f>(P37+N38)*O38</f>
      </c>
      <c r="Q38" s="16">
        <v>36</v>
      </c>
      <c r="R38" s="17">
        <f>R37+$T$3</f>
      </c>
      <c r="S38" s="5"/>
      <c r="T38" s="2"/>
      <c r="U38" s="5"/>
      <c r="V38" s="5"/>
    </row>
    <row x14ac:dyDescent="0.25" r="39" customHeight="1" ht="18.75">
      <c r="A39" s="13">
        <v>37</v>
      </c>
      <c r="B39" s="13">
        <f>$T$2</f>
      </c>
      <c r="C39" s="14">
        <f>1+($T$4/12)</f>
      </c>
      <c r="D39" s="15">
        <f>(D38+B39)*C39</f>
      </c>
      <c r="E39" s="13">
        <v>78</v>
      </c>
      <c r="F39" s="13">
        <f>$T$2</f>
      </c>
      <c r="G39" s="14">
        <f>1+($T$4/12)</f>
      </c>
      <c r="H39" s="15">
        <f>(H38+F39)*G39</f>
      </c>
      <c r="I39" s="13">
        <v>119</v>
      </c>
      <c r="J39" s="13">
        <f>$T$2</f>
      </c>
      <c r="K39" s="14">
        <f>1+($T$4/12)</f>
      </c>
      <c r="L39" s="15">
        <f>(L38+J39)*K39</f>
      </c>
      <c r="M39" s="13">
        <v>160</v>
      </c>
      <c r="N39" s="13">
        <f>$T$2</f>
      </c>
      <c r="O39" s="14">
        <f>1+($T$4/12)</f>
      </c>
      <c r="P39" s="15">
        <f>(P38+N39)*O39</f>
      </c>
      <c r="Q39" s="16">
        <v>37</v>
      </c>
      <c r="R39" s="17">
        <f>R38+$T$3</f>
      </c>
      <c r="S39" s="5"/>
      <c r="T39" s="2"/>
      <c r="U39" s="5"/>
      <c r="V39" s="5"/>
    </row>
    <row x14ac:dyDescent="0.25" r="40" customHeight="1" ht="18.75">
      <c r="A40" s="13">
        <v>38</v>
      </c>
      <c r="B40" s="13">
        <f>$T$2</f>
      </c>
      <c r="C40" s="14">
        <f>1+($T$4/12)</f>
      </c>
      <c r="D40" s="15">
        <f>(D39+B40)*C40</f>
      </c>
      <c r="E40" s="13">
        <v>79</v>
      </c>
      <c r="F40" s="13">
        <f>$T$2</f>
      </c>
      <c r="G40" s="14">
        <f>1+($T$4/12)</f>
      </c>
      <c r="H40" s="15">
        <f>(H39+F40)*G40</f>
      </c>
      <c r="I40" s="13">
        <v>120</v>
      </c>
      <c r="J40" s="13">
        <f>$T$2</f>
      </c>
      <c r="K40" s="14">
        <f>1+($T$4/12)</f>
      </c>
      <c r="L40" s="15">
        <f>(L39+J40)*K40</f>
      </c>
      <c r="M40" s="13">
        <v>161</v>
      </c>
      <c r="N40" s="13">
        <f>$T$2</f>
      </c>
      <c r="O40" s="14">
        <f>1+($T$4/12)</f>
      </c>
      <c r="P40" s="15">
        <f>(P39+N40)*O40</f>
      </c>
      <c r="Q40" s="16">
        <v>38</v>
      </c>
      <c r="R40" s="17">
        <f>R39+$T$3</f>
      </c>
      <c r="S40" s="5"/>
      <c r="T40" s="2"/>
      <c r="U40" s="5"/>
      <c r="V40" s="5"/>
    </row>
    <row x14ac:dyDescent="0.25" r="41" customHeight="1" ht="18.75">
      <c r="A41" s="13">
        <v>39</v>
      </c>
      <c r="B41" s="13">
        <f>$T$2</f>
      </c>
      <c r="C41" s="14">
        <f>1+($T$4/12)</f>
      </c>
      <c r="D41" s="15">
        <f>(D40+B41)*C41</f>
      </c>
      <c r="E41" s="13">
        <v>80</v>
      </c>
      <c r="F41" s="13">
        <f>$T$2</f>
      </c>
      <c r="G41" s="14">
        <f>1+($T$4/12)</f>
      </c>
      <c r="H41" s="15">
        <f>(H40+F41)*G41</f>
      </c>
      <c r="I41" s="13">
        <v>121</v>
      </c>
      <c r="J41" s="13">
        <f>$T$2</f>
      </c>
      <c r="K41" s="14">
        <f>1+($T$4/12)</f>
      </c>
      <c r="L41" s="15">
        <f>(L40+J41)*K41</f>
      </c>
      <c r="M41" s="13">
        <v>162</v>
      </c>
      <c r="N41" s="13">
        <f>$T$2</f>
      </c>
      <c r="O41" s="14">
        <f>1+($T$4/12)</f>
      </c>
      <c r="P41" s="15">
        <f>(P40+N41)*O41</f>
      </c>
      <c r="Q41" s="16">
        <v>39</v>
      </c>
      <c r="R41" s="17">
        <f>R40+$T$3</f>
      </c>
      <c r="S41" s="5"/>
      <c r="T41" s="2"/>
      <c r="U41" s="5"/>
      <c r="V41" s="5"/>
    </row>
    <row x14ac:dyDescent="0.25" r="42" customHeight="1" ht="18.75">
      <c r="A42" s="13">
        <v>40</v>
      </c>
      <c r="B42" s="13">
        <f>$T$2</f>
      </c>
      <c r="C42" s="14">
        <f>1+($T$4/12)</f>
      </c>
      <c r="D42" s="15">
        <f>(D41+B42)*C42</f>
      </c>
      <c r="E42" s="13">
        <v>81</v>
      </c>
      <c r="F42" s="13">
        <f>$T$2</f>
      </c>
      <c r="G42" s="14">
        <f>1+($T$4/12)</f>
      </c>
      <c r="H42" s="15">
        <f>(H41+F42)*G42</f>
      </c>
      <c r="I42" s="13">
        <v>122</v>
      </c>
      <c r="J42" s="13">
        <f>$T$2</f>
      </c>
      <c r="K42" s="14">
        <f>1+($T$4/12)</f>
      </c>
      <c r="L42" s="15">
        <f>(L41+J42)*K42</f>
      </c>
      <c r="M42" s="13">
        <v>163</v>
      </c>
      <c r="N42" s="13">
        <f>$T$2</f>
      </c>
      <c r="O42" s="14">
        <f>1+($T$4/12)</f>
      </c>
      <c r="P42" s="15">
        <f>(P41+N42)*O42</f>
      </c>
      <c r="Q42" s="16">
        <v>40</v>
      </c>
      <c r="R42" s="17">
        <f>R41+$T$3</f>
      </c>
      <c r="S42" s="5"/>
      <c r="T42" s="2"/>
      <c r="U42" s="5"/>
      <c r="V42" s="5"/>
    </row>
    <row x14ac:dyDescent="0.25" r="43" customHeight="1" ht="18.75">
      <c r="A43" s="13">
        <v>41</v>
      </c>
      <c r="B43" s="13">
        <f>$T$2</f>
      </c>
      <c r="C43" s="14">
        <f>1+($T$4/12)</f>
      </c>
      <c r="D43" s="15">
        <f>(D42+B43)*C43</f>
      </c>
      <c r="E43" s="13">
        <v>82</v>
      </c>
      <c r="F43" s="13">
        <f>$T$2</f>
      </c>
      <c r="G43" s="14">
        <f>1+($T$4/12)</f>
      </c>
      <c r="H43" s="15">
        <f>(H42+F43)*G43</f>
      </c>
      <c r="I43" s="13">
        <v>123</v>
      </c>
      <c r="J43" s="13">
        <f>$T$2</f>
      </c>
      <c r="K43" s="14">
        <f>1+($T$4/12)</f>
      </c>
      <c r="L43" s="15">
        <f>(L42+J43)*K43</f>
      </c>
      <c r="M43" s="13">
        <v>164</v>
      </c>
      <c r="N43" s="13">
        <f>$T$2</f>
      </c>
      <c r="O43" s="14">
        <f>1+($T$4/12)</f>
      </c>
      <c r="P43" s="15">
        <f>(P42+N43)*O43</f>
      </c>
      <c r="Q43" s="16">
        <v>41</v>
      </c>
      <c r="R43" s="17">
        <f>R42+$T$3</f>
      </c>
      <c r="S43" s="5"/>
      <c r="T43" s="2"/>
      <c r="U43" s="5"/>
      <c r="V43" s="5"/>
    </row>
    <row x14ac:dyDescent="0.25" r="44" customHeight="1" ht="18.75">
      <c r="A44" s="6" t="s">
        <v>0</v>
      </c>
      <c r="B44" s="6" t="s">
        <v>1</v>
      </c>
      <c r="C44" s="7" t="s">
        <v>2</v>
      </c>
      <c r="D44" s="8" t="s">
        <v>3</v>
      </c>
      <c r="E44" s="6" t="s">
        <v>0</v>
      </c>
      <c r="F44" s="6" t="s">
        <v>1</v>
      </c>
      <c r="G44" s="7" t="s">
        <v>2</v>
      </c>
      <c r="H44" s="8" t="s">
        <v>3</v>
      </c>
      <c r="I44" s="6" t="s">
        <v>0</v>
      </c>
      <c r="J44" s="6" t="s">
        <v>1</v>
      </c>
      <c r="K44" s="7" t="s">
        <v>2</v>
      </c>
      <c r="L44" s="8" t="s">
        <v>3</v>
      </c>
      <c r="M44" s="6" t="s">
        <v>0</v>
      </c>
      <c r="N44" s="6" t="s">
        <v>1</v>
      </c>
      <c r="O44" s="7" t="s">
        <v>2</v>
      </c>
      <c r="P44" s="8" t="s">
        <v>3</v>
      </c>
      <c r="Q44" s="9"/>
      <c r="R44" s="10" t="s">
        <v>5</v>
      </c>
      <c r="S44" s="5"/>
      <c r="T44" s="2"/>
      <c r="U44" s="5"/>
      <c r="V44" s="5"/>
    </row>
    <row x14ac:dyDescent="0.25" r="45" customHeight="1" ht="18.75">
      <c r="A45" s="13">
        <v>165</v>
      </c>
      <c r="B45" s="13">
        <f>$T$2</f>
      </c>
      <c r="C45" s="14">
        <f>1+($T$4/12)</f>
      </c>
      <c r="D45" s="15">
        <f>(P43+B45)*C45</f>
      </c>
      <c r="E45" s="13">
        <v>203</v>
      </c>
      <c r="F45" s="13">
        <f>$T$2</f>
      </c>
      <c r="G45" s="14">
        <f>1+($T$4/12)</f>
      </c>
      <c r="H45" s="15">
        <f>(D82+F45)*G45</f>
      </c>
      <c r="I45" s="13">
        <v>241</v>
      </c>
      <c r="J45" s="13">
        <f>$T$2</f>
      </c>
      <c r="K45" s="14">
        <f>1+($T$4/12)</f>
      </c>
      <c r="L45" s="15">
        <f>(H82+J45)*K45</f>
      </c>
      <c r="M45" s="13">
        <v>279</v>
      </c>
      <c r="N45" s="13">
        <f>$T$2</f>
      </c>
      <c r="O45" s="14">
        <f>1+($T$4/12)</f>
      </c>
      <c r="P45" s="15">
        <f>(L82+N45)*O45</f>
      </c>
      <c r="Q45" s="16">
        <v>42</v>
      </c>
      <c r="R45" s="17">
        <f>R43+$T$3</f>
      </c>
      <c r="S45" s="5"/>
      <c r="T45" s="2"/>
      <c r="U45" s="5"/>
      <c r="V45" s="5"/>
    </row>
    <row x14ac:dyDescent="0.25" r="46" customHeight="1" ht="18.75">
      <c r="A46" s="13">
        <v>166</v>
      </c>
      <c r="B46" s="13">
        <f>$T$2</f>
      </c>
      <c r="C46" s="14">
        <f>1+($T$4/12)</f>
      </c>
      <c r="D46" s="15">
        <f>(D45+B46)*C46</f>
      </c>
      <c r="E46" s="13">
        <v>204</v>
      </c>
      <c r="F46" s="13">
        <f>$T$2</f>
      </c>
      <c r="G46" s="14">
        <f>1+(0.06/12)</f>
      </c>
      <c r="H46" s="15">
        <f>(H45+F46)*G46</f>
      </c>
      <c r="I46" s="13">
        <v>242</v>
      </c>
      <c r="J46" s="13">
        <f>$T$2</f>
      </c>
      <c r="K46" s="14">
        <f>1+($T$4/12)</f>
      </c>
      <c r="L46" s="15">
        <f>(L45+J46)*K46</f>
      </c>
      <c r="M46" s="13">
        <v>280</v>
      </c>
      <c r="N46" s="13">
        <f>$T$2</f>
      </c>
      <c r="O46" s="14">
        <f>1+($T$4/12)</f>
      </c>
      <c r="P46" s="15">
        <f>(P45+N46)*O46</f>
      </c>
      <c r="Q46" s="16">
        <v>43</v>
      </c>
      <c r="R46" s="17">
        <f>R45+$T$3</f>
      </c>
      <c r="S46" s="5"/>
      <c r="T46" s="2"/>
      <c r="U46" s="5"/>
      <c r="V46" s="5"/>
    </row>
    <row x14ac:dyDescent="0.25" r="47" customHeight="1" ht="18.75">
      <c r="A47" s="13">
        <v>167</v>
      </c>
      <c r="B47" s="13">
        <f>$T$2</f>
      </c>
      <c r="C47" s="14">
        <f>1+($T$4/12)</f>
      </c>
      <c r="D47" s="15">
        <f>(D46+B47)*C47</f>
      </c>
      <c r="E47" s="13">
        <v>205</v>
      </c>
      <c r="F47" s="13">
        <f>$T$2</f>
      </c>
      <c r="G47" s="14">
        <f>1+(0.06/12)</f>
      </c>
      <c r="H47" s="15">
        <f>(H46+F47)*G47</f>
      </c>
      <c r="I47" s="13">
        <v>243</v>
      </c>
      <c r="J47" s="13">
        <f>$T$2</f>
      </c>
      <c r="K47" s="14">
        <f>1+($T$4/12)</f>
      </c>
      <c r="L47" s="15">
        <f>(L46+J47)*K47</f>
      </c>
      <c r="M47" s="13">
        <v>281</v>
      </c>
      <c r="N47" s="13">
        <f>$T$2</f>
      </c>
      <c r="O47" s="14">
        <f>1+($T$4/12)</f>
      </c>
      <c r="P47" s="15">
        <f>(P46+N47)*O47</f>
      </c>
      <c r="Q47" s="16">
        <v>44</v>
      </c>
      <c r="R47" s="17">
        <f>R46+$T$3</f>
      </c>
      <c r="S47" s="5"/>
      <c r="T47" s="2"/>
      <c r="U47" s="5"/>
      <c r="V47" s="5"/>
    </row>
    <row x14ac:dyDescent="0.25" r="48" customHeight="1" ht="18.75">
      <c r="A48" s="13">
        <v>168</v>
      </c>
      <c r="B48" s="13">
        <f>$T$2</f>
      </c>
      <c r="C48" s="14">
        <f>1+($T$4/12)</f>
      </c>
      <c r="D48" s="15">
        <f>(D47+B48)*C48</f>
      </c>
      <c r="E48" s="13">
        <v>206</v>
      </c>
      <c r="F48" s="13">
        <f>$T$2</f>
      </c>
      <c r="G48" s="14">
        <f>1+(0.06/12)</f>
      </c>
      <c r="H48" s="15">
        <f>(H47+F48)*G48</f>
      </c>
      <c r="I48" s="13">
        <v>244</v>
      </c>
      <c r="J48" s="13">
        <f>$T$2</f>
      </c>
      <c r="K48" s="14">
        <f>1+($T$4/12)</f>
      </c>
      <c r="L48" s="15">
        <f>(L47+J48)*K48</f>
      </c>
      <c r="M48" s="13">
        <v>282</v>
      </c>
      <c r="N48" s="13">
        <f>$T$2</f>
      </c>
      <c r="O48" s="14">
        <f>1+($T$4/12)</f>
      </c>
      <c r="P48" s="15">
        <f>(P47+N48)*O48</f>
      </c>
      <c r="Q48" s="16">
        <v>45</v>
      </c>
      <c r="R48" s="17">
        <f>R47+$T$3</f>
      </c>
      <c r="S48" s="5"/>
      <c r="T48" s="2"/>
      <c r="U48" s="5"/>
      <c r="V48" s="5"/>
    </row>
    <row x14ac:dyDescent="0.25" r="49" customHeight="1" ht="18.75">
      <c r="A49" s="13">
        <v>169</v>
      </c>
      <c r="B49" s="13">
        <f>$T$2</f>
      </c>
      <c r="C49" s="14">
        <f>1+($T$4/12)</f>
      </c>
      <c r="D49" s="15">
        <f>(D48+B49)*C49</f>
      </c>
      <c r="E49" s="13">
        <v>207</v>
      </c>
      <c r="F49" s="13">
        <f>$T$2</f>
      </c>
      <c r="G49" s="14">
        <f>1+(0.06/12)</f>
      </c>
      <c r="H49" s="15">
        <f>(H48+F49)*G49</f>
      </c>
      <c r="I49" s="13">
        <v>245</v>
      </c>
      <c r="J49" s="13">
        <f>$T$2</f>
      </c>
      <c r="K49" s="14">
        <f>1+($T$4/12)</f>
      </c>
      <c r="L49" s="15">
        <f>(L48+J49)*K49</f>
      </c>
      <c r="M49" s="13">
        <v>283</v>
      </c>
      <c r="N49" s="13">
        <f>$T$2</f>
      </c>
      <c r="O49" s="14">
        <f>1+($T$4/12)</f>
      </c>
      <c r="P49" s="15">
        <f>(P48+N49)*O49</f>
      </c>
      <c r="Q49" s="16">
        <v>46</v>
      </c>
      <c r="R49" s="17">
        <f>R48+$T$3</f>
      </c>
      <c r="S49" s="5"/>
      <c r="T49" s="2"/>
      <c r="U49" s="5"/>
      <c r="V49" s="5"/>
    </row>
    <row x14ac:dyDescent="0.25" r="50" customHeight="1" ht="18.75">
      <c r="A50" s="13">
        <v>170</v>
      </c>
      <c r="B50" s="13">
        <f>$T$2</f>
      </c>
      <c r="C50" s="14">
        <f>1+($T$4/12)</f>
      </c>
      <c r="D50" s="15">
        <f>(D49+B50)*C50</f>
      </c>
      <c r="E50" s="13">
        <v>208</v>
      </c>
      <c r="F50" s="13">
        <f>$T$2</f>
      </c>
      <c r="G50" s="14">
        <f>1+(0.06/12)</f>
      </c>
      <c r="H50" s="15">
        <f>(H49+F50)*G50</f>
      </c>
      <c r="I50" s="13">
        <v>246</v>
      </c>
      <c r="J50" s="13">
        <f>$T$2</f>
      </c>
      <c r="K50" s="14">
        <f>1+($T$4/12)</f>
      </c>
      <c r="L50" s="15">
        <f>(L49+J50)*K50</f>
      </c>
      <c r="M50" s="13">
        <v>284</v>
      </c>
      <c r="N50" s="13">
        <f>$T$2</f>
      </c>
      <c r="O50" s="14">
        <f>1+($T$4/12)</f>
      </c>
      <c r="P50" s="15">
        <f>(P49+N50)*O50</f>
      </c>
      <c r="Q50" s="16">
        <v>47</v>
      </c>
      <c r="R50" s="17">
        <f>R49+$T$3</f>
      </c>
      <c r="S50" s="5"/>
      <c r="T50" s="2"/>
      <c r="U50" s="5"/>
      <c r="V50" s="5"/>
    </row>
    <row x14ac:dyDescent="0.25" r="51" customHeight="1" ht="18.75">
      <c r="A51" s="13">
        <v>171</v>
      </c>
      <c r="B51" s="13">
        <f>$T$2</f>
      </c>
      <c r="C51" s="14">
        <f>1+($T$4/12)</f>
      </c>
      <c r="D51" s="15">
        <f>(D50+B51)*C51</f>
      </c>
      <c r="E51" s="13">
        <v>209</v>
      </c>
      <c r="F51" s="13">
        <f>$T$2</f>
      </c>
      <c r="G51" s="14">
        <f>1+(0.06/12)</f>
      </c>
      <c r="H51" s="15">
        <f>(H50+F51)*G51</f>
      </c>
      <c r="I51" s="13">
        <v>247</v>
      </c>
      <c r="J51" s="13">
        <f>$T$2</f>
      </c>
      <c r="K51" s="14">
        <f>1+($T$4/12)</f>
      </c>
      <c r="L51" s="15">
        <f>(L50+J51)*K51</f>
      </c>
      <c r="M51" s="13">
        <v>285</v>
      </c>
      <c r="N51" s="13">
        <f>$T$2</f>
      </c>
      <c r="O51" s="14">
        <f>1+($T$4/12)</f>
      </c>
      <c r="P51" s="15">
        <f>(P50+N51)*O51</f>
      </c>
      <c r="Q51" s="16">
        <v>48</v>
      </c>
      <c r="R51" s="17">
        <f>R50+$T$3</f>
      </c>
      <c r="S51" s="5"/>
      <c r="T51" s="2"/>
      <c r="U51" s="5"/>
      <c r="V51" s="5"/>
    </row>
    <row x14ac:dyDescent="0.25" r="52" customHeight="1" ht="18.75">
      <c r="A52" s="13">
        <v>172</v>
      </c>
      <c r="B52" s="13">
        <f>$T$2</f>
      </c>
      <c r="C52" s="14">
        <f>1+($T$4/12)</f>
      </c>
      <c r="D52" s="15">
        <f>(D51+B52)*C52</f>
      </c>
      <c r="E52" s="13">
        <v>210</v>
      </c>
      <c r="F52" s="13">
        <f>$T$2</f>
      </c>
      <c r="G52" s="14">
        <f>1+(0.06/12)</f>
      </c>
      <c r="H52" s="15">
        <f>(H51+F52)*G52</f>
      </c>
      <c r="I52" s="13">
        <v>248</v>
      </c>
      <c r="J52" s="13">
        <f>$T$2</f>
      </c>
      <c r="K52" s="14">
        <f>1+($T$4/12)</f>
      </c>
      <c r="L52" s="15">
        <f>(L51+J52)*K52</f>
      </c>
      <c r="M52" s="13">
        <v>286</v>
      </c>
      <c r="N52" s="13">
        <f>$T$2</f>
      </c>
      <c r="O52" s="14">
        <f>1+($T$4/12)</f>
      </c>
      <c r="P52" s="15">
        <f>(P51+N52)*O52</f>
      </c>
      <c r="Q52" s="16">
        <v>49</v>
      </c>
      <c r="R52" s="17">
        <f>R51+$T$3</f>
      </c>
      <c r="S52" s="5"/>
      <c r="T52" s="2"/>
      <c r="U52" s="5"/>
      <c r="V52" s="5"/>
    </row>
    <row x14ac:dyDescent="0.25" r="53" customHeight="1" ht="18.75">
      <c r="A53" s="13">
        <v>173</v>
      </c>
      <c r="B53" s="13">
        <f>$T$2</f>
      </c>
      <c r="C53" s="14">
        <f>1+($T$4/12)</f>
      </c>
      <c r="D53" s="15">
        <f>(D52+B53)*C53</f>
      </c>
      <c r="E53" s="13">
        <v>211</v>
      </c>
      <c r="F53" s="13">
        <f>$T$2</f>
      </c>
      <c r="G53" s="14">
        <f>1+(0.06/12)</f>
      </c>
      <c r="H53" s="15">
        <f>(H52+F53)*G53</f>
      </c>
      <c r="I53" s="13">
        <v>249</v>
      </c>
      <c r="J53" s="13">
        <f>$T$2</f>
      </c>
      <c r="K53" s="14">
        <f>1+($T$4/12)</f>
      </c>
      <c r="L53" s="15">
        <f>(L52+J53)*K53</f>
      </c>
      <c r="M53" s="13">
        <v>287</v>
      </c>
      <c r="N53" s="13">
        <f>$T$2</f>
      </c>
      <c r="O53" s="14">
        <f>1+($T$4/12)</f>
      </c>
      <c r="P53" s="15">
        <f>(P52+N53)*O53</f>
      </c>
      <c r="Q53" s="16">
        <v>50</v>
      </c>
      <c r="R53" s="17">
        <f>R52+$T$3</f>
      </c>
      <c r="S53" s="5"/>
      <c r="T53" s="2"/>
      <c r="U53" s="5"/>
      <c r="V53" s="5"/>
    </row>
    <row x14ac:dyDescent="0.25" r="54" customHeight="1" ht="18.75">
      <c r="A54" s="13">
        <v>174</v>
      </c>
      <c r="B54" s="13">
        <f>$T$2</f>
      </c>
      <c r="C54" s="14">
        <f>1+($T$4/12)</f>
      </c>
      <c r="D54" s="15">
        <f>(D53+B54)*C54</f>
      </c>
      <c r="E54" s="13">
        <v>212</v>
      </c>
      <c r="F54" s="13">
        <f>$T$2</f>
      </c>
      <c r="G54" s="14">
        <f>1+(0.06/12)</f>
      </c>
      <c r="H54" s="15">
        <f>(H53+F54)*G54</f>
      </c>
      <c r="I54" s="13">
        <v>250</v>
      </c>
      <c r="J54" s="13">
        <f>$T$2</f>
      </c>
      <c r="K54" s="14">
        <f>1+($T$4/12)</f>
      </c>
      <c r="L54" s="15">
        <f>(L53+J54)*K54</f>
      </c>
      <c r="M54" s="13">
        <v>288</v>
      </c>
      <c r="N54" s="13">
        <f>$T$2</f>
      </c>
      <c r="O54" s="14">
        <f>1+($T$4/12)</f>
      </c>
      <c r="P54" s="15">
        <f>(P53+N54)*O54</f>
      </c>
      <c r="Q54" s="16">
        <v>51</v>
      </c>
      <c r="R54" s="17">
        <f>R53+$T$3</f>
      </c>
      <c r="S54" s="5"/>
      <c r="T54" s="2"/>
      <c r="U54" s="5"/>
      <c r="V54" s="5"/>
    </row>
    <row x14ac:dyDescent="0.25" r="55" customHeight="1" ht="18.75">
      <c r="A55" s="13">
        <v>175</v>
      </c>
      <c r="B55" s="13">
        <f>$T$2</f>
      </c>
      <c r="C55" s="14">
        <f>1+($T$4/12)</f>
      </c>
      <c r="D55" s="15">
        <f>(D54+B55)*C55</f>
      </c>
      <c r="E55" s="13">
        <v>213</v>
      </c>
      <c r="F55" s="13">
        <f>$T$2</f>
      </c>
      <c r="G55" s="14">
        <f>1+(0.06/12)</f>
      </c>
      <c r="H55" s="15">
        <f>(H54+F55)*G55</f>
      </c>
      <c r="I55" s="13">
        <v>251</v>
      </c>
      <c r="J55" s="13">
        <f>$T$2</f>
      </c>
      <c r="K55" s="14">
        <f>1+($T$4/12)</f>
      </c>
      <c r="L55" s="15">
        <f>(L54+J55)*K55</f>
      </c>
      <c r="M55" s="13">
        <v>289</v>
      </c>
      <c r="N55" s="13">
        <f>$T$2</f>
      </c>
      <c r="O55" s="14">
        <f>1+($T$4/12)</f>
      </c>
      <c r="P55" s="15">
        <f>(P54+N55)*O55</f>
      </c>
      <c r="Q55" s="16">
        <v>52</v>
      </c>
      <c r="R55" s="17">
        <f>R54+$T$3</f>
      </c>
      <c r="S55" s="5"/>
      <c r="T55" s="2"/>
      <c r="U55" s="5"/>
      <c r="V55" s="5"/>
    </row>
    <row x14ac:dyDescent="0.25" r="56" customHeight="1" ht="18.75">
      <c r="A56" s="13">
        <v>176</v>
      </c>
      <c r="B56" s="13">
        <f>$T$2</f>
      </c>
      <c r="C56" s="14">
        <f>1+($T$4/12)</f>
      </c>
      <c r="D56" s="15">
        <f>(D55+B56)*C56</f>
      </c>
      <c r="E56" s="13">
        <v>214</v>
      </c>
      <c r="F56" s="13">
        <f>$T$2</f>
      </c>
      <c r="G56" s="14">
        <f>1+(0.06/12)</f>
      </c>
      <c r="H56" s="15">
        <f>(H55+F56)*G56</f>
      </c>
      <c r="I56" s="13">
        <v>252</v>
      </c>
      <c r="J56" s="13">
        <f>$T$2</f>
      </c>
      <c r="K56" s="14">
        <f>1+($T$4/12)</f>
      </c>
      <c r="L56" s="15">
        <f>(L55+J56)*K56</f>
      </c>
      <c r="M56" s="13">
        <v>290</v>
      </c>
      <c r="N56" s="13">
        <f>$T$2</f>
      </c>
      <c r="O56" s="14">
        <f>1+($T$4/12)</f>
      </c>
      <c r="P56" s="15">
        <f>(P55+N56)*O56</f>
      </c>
      <c r="Q56" s="16">
        <v>53</v>
      </c>
      <c r="R56" s="17">
        <f>R55+$T$3</f>
      </c>
      <c r="S56" s="5"/>
      <c r="T56" s="2"/>
      <c r="U56" s="5"/>
      <c r="V56" s="5"/>
    </row>
    <row x14ac:dyDescent="0.25" r="57" customHeight="1" ht="18.75">
      <c r="A57" s="13">
        <v>177</v>
      </c>
      <c r="B57" s="13">
        <f>$T$2</f>
      </c>
      <c r="C57" s="14">
        <f>1+($T$4/12)</f>
      </c>
      <c r="D57" s="15">
        <f>(D56+B57)*C57</f>
      </c>
      <c r="E57" s="13">
        <v>215</v>
      </c>
      <c r="F57" s="13">
        <f>$T$2</f>
      </c>
      <c r="G57" s="14">
        <f>1+(0.06/12)</f>
      </c>
      <c r="H57" s="15">
        <f>(H56+F57)*G57</f>
      </c>
      <c r="I57" s="13">
        <v>253</v>
      </c>
      <c r="J57" s="13">
        <f>$T$2</f>
      </c>
      <c r="K57" s="14">
        <f>1+($T$4/12)</f>
      </c>
      <c r="L57" s="15">
        <f>(L56+J57)*K57</f>
      </c>
      <c r="M57" s="13">
        <v>291</v>
      </c>
      <c r="N57" s="13">
        <f>$T$2</f>
      </c>
      <c r="O57" s="14">
        <f>1+($T$4/12)</f>
      </c>
      <c r="P57" s="15">
        <f>(P56+N57)*O57</f>
      </c>
      <c r="Q57" s="16">
        <v>54</v>
      </c>
      <c r="R57" s="17">
        <f>R56+$T$3</f>
      </c>
      <c r="S57" s="5"/>
      <c r="T57" s="2"/>
      <c r="U57" s="5"/>
      <c r="V57" s="5"/>
    </row>
    <row x14ac:dyDescent="0.25" r="58" customHeight="1" ht="18.75">
      <c r="A58" s="13">
        <v>178</v>
      </c>
      <c r="B58" s="13">
        <f>$T$2</f>
      </c>
      <c r="C58" s="14">
        <f>1+($T$4/12)</f>
      </c>
      <c r="D58" s="15">
        <f>(D57+B58)*C58</f>
      </c>
      <c r="E58" s="13">
        <v>216</v>
      </c>
      <c r="F58" s="13">
        <f>$T$2</f>
      </c>
      <c r="G58" s="14">
        <f>1+(0.06/12)</f>
      </c>
      <c r="H58" s="15">
        <f>(H57+F58)*G58</f>
      </c>
      <c r="I58" s="13">
        <v>254</v>
      </c>
      <c r="J58" s="13">
        <f>$T$2</f>
      </c>
      <c r="K58" s="14">
        <f>1+($T$4/12)</f>
      </c>
      <c r="L58" s="15">
        <f>(L57+J58)*K58</f>
      </c>
      <c r="M58" s="13">
        <v>292</v>
      </c>
      <c r="N58" s="13">
        <f>$T$2</f>
      </c>
      <c r="O58" s="14">
        <f>1+($T$4/12)</f>
      </c>
      <c r="P58" s="15">
        <f>(P57+N58)*O58</f>
      </c>
      <c r="Q58" s="16">
        <v>55</v>
      </c>
      <c r="R58" s="17">
        <f>R57+$T$3</f>
      </c>
      <c r="S58" s="5"/>
      <c r="T58" s="2"/>
      <c r="U58" s="5"/>
      <c r="V58" s="5"/>
    </row>
    <row x14ac:dyDescent="0.25" r="59" customHeight="1" ht="18.75">
      <c r="A59" s="13">
        <v>179</v>
      </c>
      <c r="B59" s="13">
        <f>$T$2</f>
      </c>
      <c r="C59" s="14">
        <f>1+($T$4/12)</f>
      </c>
      <c r="D59" s="15">
        <f>(D58+B59)*C59</f>
      </c>
      <c r="E59" s="13">
        <v>217</v>
      </c>
      <c r="F59" s="13">
        <f>$T$2</f>
      </c>
      <c r="G59" s="14">
        <f>1+(0.06/12)</f>
      </c>
      <c r="H59" s="15">
        <f>(H58+F59)*G59</f>
      </c>
      <c r="I59" s="13">
        <v>255</v>
      </c>
      <c r="J59" s="13">
        <f>$T$2</f>
      </c>
      <c r="K59" s="14">
        <f>1+($T$4/12)</f>
      </c>
      <c r="L59" s="15">
        <f>(L58+J59)*K59</f>
      </c>
      <c r="M59" s="13">
        <v>293</v>
      </c>
      <c r="N59" s="13">
        <f>$T$2</f>
      </c>
      <c r="O59" s="14">
        <f>1+($T$4/12)</f>
      </c>
      <c r="P59" s="15">
        <f>(P58+N59)*O59</f>
      </c>
      <c r="Q59" s="16">
        <v>56</v>
      </c>
      <c r="R59" s="17">
        <f>R58+$T$3</f>
      </c>
      <c r="S59" s="5"/>
      <c r="T59" s="2"/>
      <c r="U59" s="5"/>
      <c r="V59" s="5"/>
    </row>
    <row x14ac:dyDescent="0.25" r="60" customHeight="1" ht="18.75">
      <c r="A60" s="13">
        <v>180</v>
      </c>
      <c r="B60" s="13">
        <f>$T$2</f>
      </c>
      <c r="C60" s="14">
        <f>1+($T$4/12)</f>
      </c>
      <c r="D60" s="15">
        <f>(D59+B60)*C60</f>
      </c>
      <c r="E60" s="13">
        <v>218</v>
      </c>
      <c r="F60" s="13">
        <f>$T$2</f>
      </c>
      <c r="G60" s="14">
        <f>1+(0.06/12)</f>
      </c>
      <c r="H60" s="15">
        <f>(H59+F60)*G60</f>
      </c>
      <c r="I60" s="13">
        <v>256</v>
      </c>
      <c r="J60" s="13">
        <f>$T$2</f>
      </c>
      <c r="K60" s="14">
        <f>1+($T$4/12)</f>
      </c>
      <c r="L60" s="15">
        <f>(L59+J60)*K60</f>
      </c>
      <c r="M60" s="13">
        <v>294</v>
      </c>
      <c r="N60" s="13">
        <f>$T$2</f>
      </c>
      <c r="O60" s="14">
        <f>1+($T$4/12)</f>
      </c>
      <c r="P60" s="15">
        <f>(P59+N60)*O60</f>
      </c>
      <c r="Q60" s="16">
        <v>57</v>
      </c>
      <c r="R60" s="17">
        <f>R59+$T$3</f>
      </c>
      <c r="S60" s="5"/>
      <c r="T60" s="2"/>
      <c r="U60" s="5"/>
      <c r="V60" s="5"/>
    </row>
    <row x14ac:dyDescent="0.25" r="61" customHeight="1" ht="18.75">
      <c r="A61" s="13">
        <v>181</v>
      </c>
      <c r="B61" s="13">
        <f>$T$2</f>
      </c>
      <c r="C61" s="14">
        <f>1+($T$4/12)</f>
      </c>
      <c r="D61" s="15">
        <f>(D60+B61)*C61</f>
      </c>
      <c r="E61" s="13">
        <v>219</v>
      </c>
      <c r="F61" s="13">
        <f>$T$2</f>
      </c>
      <c r="G61" s="14">
        <f>1+(0.06/12)</f>
      </c>
      <c r="H61" s="15">
        <f>(H60+F61)*G61</f>
      </c>
      <c r="I61" s="13">
        <v>257</v>
      </c>
      <c r="J61" s="13">
        <f>$T$2</f>
      </c>
      <c r="K61" s="14">
        <f>1+($T$4/12)</f>
      </c>
      <c r="L61" s="15">
        <f>(L60+J61)*K61</f>
      </c>
      <c r="M61" s="13">
        <v>295</v>
      </c>
      <c r="N61" s="13">
        <f>$T$2</f>
      </c>
      <c r="O61" s="14">
        <f>1+($T$4/12)</f>
      </c>
      <c r="P61" s="15">
        <f>(P60+N61)*O61</f>
      </c>
      <c r="Q61" s="16">
        <v>58</v>
      </c>
      <c r="R61" s="17">
        <f>R60+$T$3</f>
      </c>
      <c r="S61" s="5"/>
      <c r="T61" s="2"/>
      <c r="U61" s="5"/>
      <c r="V61" s="5"/>
    </row>
    <row x14ac:dyDescent="0.25" r="62" customHeight="1" ht="18.75">
      <c r="A62" s="13">
        <v>182</v>
      </c>
      <c r="B62" s="13">
        <f>$T$2</f>
      </c>
      <c r="C62" s="14">
        <f>1+($T$4/12)</f>
      </c>
      <c r="D62" s="15">
        <f>(D61+B62)*C62</f>
      </c>
      <c r="E62" s="13">
        <v>220</v>
      </c>
      <c r="F62" s="13">
        <f>$T$2</f>
      </c>
      <c r="G62" s="14">
        <f>1+(0.06/12)</f>
      </c>
      <c r="H62" s="15">
        <f>(H61+F62)*G62</f>
      </c>
      <c r="I62" s="13">
        <v>258</v>
      </c>
      <c r="J62" s="13">
        <f>$T$2</f>
      </c>
      <c r="K62" s="14">
        <f>1+($T$4/12)</f>
      </c>
      <c r="L62" s="15">
        <f>(L61+J62)*K62</f>
      </c>
      <c r="M62" s="13">
        <v>296</v>
      </c>
      <c r="N62" s="13">
        <f>$T$2</f>
      </c>
      <c r="O62" s="14">
        <f>1+($T$4/12)</f>
      </c>
      <c r="P62" s="15">
        <f>(P61+N62)*O62</f>
      </c>
      <c r="Q62" s="16">
        <v>59</v>
      </c>
      <c r="R62" s="17">
        <f>R61+$T$3</f>
      </c>
      <c r="S62" s="5"/>
      <c r="T62" s="2"/>
      <c r="U62" s="5"/>
      <c r="V62" s="5"/>
    </row>
    <row x14ac:dyDescent="0.25" r="63" customHeight="1" ht="18.75">
      <c r="A63" s="13">
        <v>183</v>
      </c>
      <c r="B63" s="13">
        <f>$T$2</f>
      </c>
      <c r="C63" s="14">
        <f>1+($T$4/12)</f>
      </c>
      <c r="D63" s="15">
        <f>(D62+B63)*C63</f>
      </c>
      <c r="E63" s="13">
        <v>221</v>
      </c>
      <c r="F63" s="13">
        <f>$T$2</f>
      </c>
      <c r="G63" s="14">
        <f>1+(0.06/12)</f>
      </c>
      <c r="H63" s="15">
        <f>(H62+F63)*G63</f>
      </c>
      <c r="I63" s="13">
        <v>259</v>
      </c>
      <c r="J63" s="13">
        <f>$T$2</f>
      </c>
      <c r="K63" s="14">
        <f>1+($T$4/12)</f>
      </c>
      <c r="L63" s="15">
        <f>(L62+J63)*K63</f>
      </c>
      <c r="M63" s="13">
        <v>297</v>
      </c>
      <c r="N63" s="13">
        <f>$T$2</f>
      </c>
      <c r="O63" s="14">
        <f>1+($T$4/12)</f>
      </c>
      <c r="P63" s="15">
        <f>(P62+N63)*O63</f>
      </c>
      <c r="Q63" s="16">
        <v>60</v>
      </c>
      <c r="R63" s="17">
        <f>R62+$T$3</f>
      </c>
      <c r="S63" s="5"/>
      <c r="T63" s="2"/>
      <c r="U63" s="5"/>
      <c r="V63" s="5"/>
    </row>
    <row x14ac:dyDescent="0.25" r="64" customHeight="1" ht="18.75">
      <c r="A64" s="13">
        <v>184</v>
      </c>
      <c r="B64" s="13">
        <f>$T$2</f>
      </c>
      <c r="C64" s="14">
        <f>1+($T$4/12)</f>
      </c>
      <c r="D64" s="15">
        <f>(D63+B64)*C64</f>
      </c>
      <c r="E64" s="13">
        <v>222</v>
      </c>
      <c r="F64" s="13">
        <f>$T$2</f>
      </c>
      <c r="G64" s="14">
        <f>1+(0.06/12)</f>
      </c>
      <c r="H64" s="15">
        <f>(H63+F64)*G64</f>
      </c>
      <c r="I64" s="13">
        <v>260</v>
      </c>
      <c r="J64" s="13">
        <f>$T$2</f>
      </c>
      <c r="K64" s="14">
        <f>1+($T$4/12)</f>
      </c>
      <c r="L64" s="15">
        <f>(L63+J64)*K64</f>
      </c>
      <c r="M64" s="13">
        <v>298</v>
      </c>
      <c r="N64" s="13">
        <f>$T$2</f>
      </c>
      <c r="O64" s="14">
        <f>1+($T$4/12)</f>
      </c>
      <c r="P64" s="15">
        <f>(P63+N64)*O64</f>
      </c>
      <c r="Q64" s="16">
        <v>61</v>
      </c>
      <c r="R64" s="17">
        <f>R63+$T$3</f>
      </c>
      <c r="S64" s="5"/>
      <c r="T64" s="2"/>
      <c r="U64" s="5"/>
      <c r="V64" s="5"/>
    </row>
    <row x14ac:dyDescent="0.25" r="65" customHeight="1" ht="18.75">
      <c r="A65" s="13">
        <v>185</v>
      </c>
      <c r="B65" s="13">
        <f>$T$2</f>
      </c>
      <c r="C65" s="14">
        <f>1+($T$4/12)</f>
      </c>
      <c r="D65" s="15">
        <f>(D64+B65)*C65</f>
      </c>
      <c r="E65" s="13">
        <v>223</v>
      </c>
      <c r="F65" s="13">
        <f>$T$2</f>
      </c>
      <c r="G65" s="14">
        <f>1+(0.06/12)</f>
      </c>
      <c r="H65" s="15">
        <f>(H64+F65)*G65</f>
      </c>
      <c r="I65" s="13">
        <v>261</v>
      </c>
      <c r="J65" s="13">
        <f>$T$2</f>
      </c>
      <c r="K65" s="14">
        <f>1+($T$4/12)</f>
      </c>
      <c r="L65" s="15">
        <f>(L64+J65)*K65</f>
      </c>
      <c r="M65" s="13">
        <v>299</v>
      </c>
      <c r="N65" s="13">
        <f>$T$2</f>
      </c>
      <c r="O65" s="14">
        <f>1+($T$4/12)</f>
      </c>
      <c r="P65" s="15">
        <f>(P64+N65)*O65</f>
      </c>
      <c r="Q65" s="16">
        <v>62</v>
      </c>
      <c r="R65" s="17">
        <f>R64+$T$3</f>
      </c>
      <c r="S65" s="5"/>
      <c r="T65" s="2"/>
      <c r="U65" s="5"/>
      <c r="V65" s="5"/>
    </row>
    <row x14ac:dyDescent="0.25" r="66" customHeight="1" ht="18.75">
      <c r="A66" s="13">
        <v>186</v>
      </c>
      <c r="B66" s="13">
        <f>$T$2</f>
      </c>
      <c r="C66" s="14">
        <f>1+($T$4/12)</f>
      </c>
      <c r="D66" s="15">
        <f>(D65+B66)*C66</f>
      </c>
      <c r="E66" s="13">
        <v>224</v>
      </c>
      <c r="F66" s="13">
        <f>$T$2</f>
      </c>
      <c r="G66" s="14">
        <f>1+(0.06/12)</f>
      </c>
      <c r="H66" s="15">
        <f>(H65+F66)*G66</f>
      </c>
      <c r="I66" s="13">
        <v>262</v>
      </c>
      <c r="J66" s="13">
        <f>$T$2</f>
      </c>
      <c r="K66" s="14">
        <f>1+($T$4/12)</f>
      </c>
      <c r="L66" s="15">
        <f>(L65+J66)*K66</f>
      </c>
      <c r="M66" s="13">
        <v>300</v>
      </c>
      <c r="N66" s="13">
        <f>$T$2</f>
      </c>
      <c r="O66" s="14">
        <f>1+($T$4/12)</f>
      </c>
      <c r="P66" s="15">
        <f>(P65+N66)*O66</f>
      </c>
      <c r="Q66" s="16">
        <v>63</v>
      </c>
      <c r="R66" s="17">
        <f>R65+$T$3</f>
      </c>
      <c r="S66" s="5"/>
      <c r="T66" s="2"/>
      <c r="U66" s="5"/>
      <c r="V66" s="5"/>
    </row>
    <row x14ac:dyDescent="0.25" r="67" customHeight="1" ht="18.75">
      <c r="A67" s="13">
        <v>187</v>
      </c>
      <c r="B67" s="13">
        <f>$T$2</f>
      </c>
      <c r="C67" s="14">
        <f>1+($T$4/12)</f>
      </c>
      <c r="D67" s="15">
        <f>(D66+B67)*C67</f>
      </c>
      <c r="E67" s="13">
        <v>225</v>
      </c>
      <c r="F67" s="13">
        <f>$T$2</f>
      </c>
      <c r="G67" s="14">
        <f>1+(0.06/12)</f>
      </c>
      <c r="H67" s="15">
        <f>(H66+F67)*G67</f>
      </c>
      <c r="I67" s="13">
        <v>263</v>
      </c>
      <c r="J67" s="13">
        <f>$T$2</f>
      </c>
      <c r="K67" s="14">
        <f>1+($T$4/12)</f>
      </c>
      <c r="L67" s="15">
        <f>(L66+J67)*K67</f>
      </c>
      <c r="M67" s="13">
        <v>301</v>
      </c>
      <c r="N67" s="13">
        <f>$T$2</f>
      </c>
      <c r="O67" s="14">
        <f>1+($T$4/12)</f>
      </c>
      <c r="P67" s="15">
        <f>(P66+N67)*O67</f>
      </c>
      <c r="Q67" s="16">
        <v>64</v>
      </c>
      <c r="R67" s="17">
        <f>R66+$T$3</f>
      </c>
      <c r="S67" s="5"/>
      <c r="T67" s="2"/>
      <c r="U67" s="5"/>
      <c r="V67" s="5"/>
    </row>
    <row x14ac:dyDescent="0.25" r="68" customHeight="1" ht="18.75">
      <c r="A68" s="13">
        <v>188</v>
      </c>
      <c r="B68" s="13">
        <f>$T$2</f>
      </c>
      <c r="C68" s="14">
        <f>1+($T$4/12)</f>
      </c>
      <c r="D68" s="15">
        <f>(D67+B68)*C68</f>
      </c>
      <c r="E68" s="13">
        <v>226</v>
      </c>
      <c r="F68" s="13">
        <f>$T$2</f>
      </c>
      <c r="G68" s="14">
        <f>1+(0.06/12)</f>
      </c>
      <c r="H68" s="15">
        <f>(H67+F68)*G68</f>
      </c>
      <c r="I68" s="13">
        <v>264</v>
      </c>
      <c r="J68" s="13">
        <f>$T$2</f>
      </c>
      <c r="K68" s="14">
        <f>1+($T$4/12)</f>
      </c>
      <c r="L68" s="15">
        <f>(L67+J68)*K68</f>
      </c>
      <c r="M68" s="13">
        <v>302</v>
      </c>
      <c r="N68" s="13">
        <f>$T$2</f>
      </c>
      <c r="O68" s="14">
        <f>1+($T$4/12)</f>
      </c>
      <c r="P68" s="15">
        <f>(P67+N68)*O68</f>
      </c>
      <c r="Q68" s="16">
        <v>65</v>
      </c>
      <c r="R68" s="17">
        <f>R67+$T$3</f>
      </c>
      <c r="S68" s="5"/>
      <c r="T68" s="2"/>
      <c r="U68" s="5"/>
      <c r="V68" s="5"/>
    </row>
    <row x14ac:dyDescent="0.25" r="69" customHeight="1" ht="18.75">
      <c r="A69" s="13">
        <v>189</v>
      </c>
      <c r="B69" s="13">
        <f>$T$2</f>
      </c>
      <c r="C69" s="14">
        <f>1+($T$4/12)</f>
      </c>
      <c r="D69" s="15">
        <f>(D68+B69)*C69</f>
      </c>
      <c r="E69" s="13">
        <v>227</v>
      </c>
      <c r="F69" s="13">
        <f>$T$2</f>
      </c>
      <c r="G69" s="14">
        <f>1+(0.06/12)</f>
      </c>
      <c r="H69" s="15">
        <f>(H68+F69)*G69</f>
      </c>
      <c r="I69" s="13">
        <v>265</v>
      </c>
      <c r="J69" s="13">
        <f>$T$2</f>
      </c>
      <c r="K69" s="14">
        <f>1+($T$4/12)</f>
      </c>
      <c r="L69" s="15">
        <f>(L68+J69)*K69</f>
      </c>
      <c r="M69" s="13">
        <v>303</v>
      </c>
      <c r="N69" s="13">
        <f>$T$2</f>
      </c>
      <c r="O69" s="14">
        <f>1+($T$4/12)</f>
      </c>
      <c r="P69" s="15">
        <f>(P68+N69)*O69</f>
      </c>
      <c r="Q69" s="16">
        <v>66</v>
      </c>
      <c r="R69" s="17">
        <f>R68+$T$3</f>
      </c>
      <c r="S69" s="5"/>
      <c r="T69" s="2"/>
      <c r="U69" s="5"/>
      <c r="V69" s="5"/>
    </row>
    <row x14ac:dyDescent="0.25" r="70" customHeight="1" ht="18.75">
      <c r="A70" s="13">
        <v>190</v>
      </c>
      <c r="B70" s="13">
        <f>$T$2</f>
      </c>
      <c r="C70" s="14">
        <f>1+($T$4/12)</f>
      </c>
      <c r="D70" s="15">
        <f>(D69+B70)*C70</f>
      </c>
      <c r="E70" s="13">
        <v>228</v>
      </c>
      <c r="F70" s="13">
        <f>$T$2</f>
      </c>
      <c r="G70" s="14">
        <f>1+(0.06/12)</f>
      </c>
      <c r="H70" s="15">
        <f>(H69+F70)*G70</f>
      </c>
      <c r="I70" s="13">
        <v>266</v>
      </c>
      <c r="J70" s="13">
        <f>$T$2</f>
      </c>
      <c r="K70" s="14">
        <f>1+($T$4/12)</f>
      </c>
      <c r="L70" s="15">
        <f>(L69+J70)*K70</f>
      </c>
      <c r="M70" s="13">
        <v>304</v>
      </c>
      <c r="N70" s="13">
        <f>$T$2</f>
      </c>
      <c r="O70" s="14">
        <f>1+($T$4/12)</f>
      </c>
      <c r="P70" s="15">
        <f>(P69+N70)*O70</f>
      </c>
      <c r="Q70" s="16">
        <v>67</v>
      </c>
      <c r="R70" s="17">
        <f>R69+$T$3</f>
      </c>
      <c r="S70" s="5"/>
      <c r="T70" s="2"/>
      <c r="U70" s="5"/>
      <c r="V70" s="5"/>
    </row>
    <row x14ac:dyDescent="0.25" r="71" customHeight="1" ht="18.75">
      <c r="A71" s="13">
        <v>191</v>
      </c>
      <c r="B71" s="13">
        <f>$T$2</f>
      </c>
      <c r="C71" s="14">
        <f>1+($T$4/12)</f>
      </c>
      <c r="D71" s="15">
        <f>(D70+B71)*C71</f>
      </c>
      <c r="E71" s="13">
        <v>229</v>
      </c>
      <c r="F71" s="13">
        <f>$T$2</f>
      </c>
      <c r="G71" s="14">
        <f>1+(0.06/12)</f>
      </c>
      <c r="H71" s="15">
        <f>(H70+F71)*G71</f>
      </c>
      <c r="I71" s="13">
        <v>267</v>
      </c>
      <c r="J71" s="13">
        <f>$T$2</f>
      </c>
      <c r="K71" s="14">
        <f>1+($T$4/12)</f>
      </c>
      <c r="L71" s="15">
        <f>(L70+J71)*K71</f>
      </c>
      <c r="M71" s="13">
        <v>305</v>
      </c>
      <c r="N71" s="13">
        <f>$T$2</f>
      </c>
      <c r="O71" s="14">
        <f>1+($T$4/12)</f>
      </c>
      <c r="P71" s="15">
        <f>(P70+N71)*O71</f>
      </c>
      <c r="Q71" s="16">
        <v>68</v>
      </c>
      <c r="R71" s="17">
        <f>R70+$T$3</f>
      </c>
      <c r="S71" s="5"/>
      <c r="T71" s="2"/>
      <c r="U71" s="5"/>
      <c r="V71" s="5"/>
    </row>
    <row x14ac:dyDescent="0.25" r="72" customHeight="1" ht="18.75">
      <c r="A72" s="13">
        <v>192</v>
      </c>
      <c r="B72" s="13">
        <f>$T$2</f>
      </c>
      <c r="C72" s="14">
        <f>1+($T$4/12)</f>
      </c>
      <c r="D72" s="15">
        <f>(D71+B72)*C72</f>
      </c>
      <c r="E72" s="13">
        <v>230</v>
      </c>
      <c r="F72" s="13">
        <f>$T$2</f>
      </c>
      <c r="G72" s="14">
        <f>1+(0.06/12)</f>
      </c>
      <c r="H72" s="15">
        <f>(H71+F72)*G72</f>
      </c>
      <c r="I72" s="13">
        <v>268</v>
      </c>
      <c r="J72" s="13">
        <f>$T$2</f>
      </c>
      <c r="K72" s="14">
        <f>1+($T$4/12)</f>
      </c>
      <c r="L72" s="15">
        <f>(L71+J72)*K72</f>
      </c>
      <c r="M72" s="13">
        <v>306</v>
      </c>
      <c r="N72" s="13">
        <f>$T$2</f>
      </c>
      <c r="O72" s="14">
        <f>1+($T$4/12)</f>
      </c>
      <c r="P72" s="15">
        <f>(P71+N72)*O72</f>
      </c>
      <c r="Q72" s="16">
        <v>69</v>
      </c>
      <c r="R72" s="17">
        <f>R71+$T$3</f>
      </c>
      <c r="S72" s="5"/>
      <c r="T72" s="2"/>
      <c r="U72" s="5"/>
      <c r="V72" s="5"/>
    </row>
    <row x14ac:dyDescent="0.25" r="73" customHeight="1" ht="18.75">
      <c r="A73" s="13">
        <v>193</v>
      </c>
      <c r="B73" s="13">
        <f>$T$2</f>
      </c>
      <c r="C73" s="14">
        <f>1+($T$4/12)</f>
      </c>
      <c r="D73" s="15">
        <f>(D72+B73)*C73</f>
      </c>
      <c r="E73" s="13">
        <v>231</v>
      </c>
      <c r="F73" s="13">
        <f>$T$2</f>
      </c>
      <c r="G73" s="14">
        <f>1+(0.06/12)</f>
      </c>
      <c r="H73" s="15">
        <f>(H72+F73)*G73</f>
      </c>
      <c r="I73" s="13">
        <v>269</v>
      </c>
      <c r="J73" s="13">
        <f>$T$2</f>
      </c>
      <c r="K73" s="14">
        <f>1+($T$4/12)</f>
      </c>
      <c r="L73" s="15">
        <f>(L72+J73)*K73</f>
      </c>
      <c r="M73" s="13">
        <v>307</v>
      </c>
      <c r="N73" s="13">
        <f>$T$2</f>
      </c>
      <c r="O73" s="14">
        <f>1+($T$4/12)</f>
      </c>
      <c r="P73" s="15">
        <f>(P72+N73)*O73</f>
      </c>
      <c r="Q73" s="16">
        <v>70</v>
      </c>
      <c r="R73" s="17">
        <f>R72+$T$3</f>
      </c>
      <c r="S73" s="5"/>
      <c r="T73" s="2"/>
      <c r="U73" s="5"/>
      <c r="V73" s="5"/>
    </row>
    <row x14ac:dyDescent="0.25" r="74" customHeight="1" ht="18.75">
      <c r="A74" s="13">
        <v>194</v>
      </c>
      <c r="B74" s="13">
        <f>$T$2</f>
      </c>
      <c r="C74" s="14">
        <f>1+($T$4/12)</f>
      </c>
      <c r="D74" s="15">
        <f>(D73+B74)*C74</f>
      </c>
      <c r="E74" s="13">
        <v>232</v>
      </c>
      <c r="F74" s="13">
        <f>$T$2</f>
      </c>
      <c r="G74" s="14">
        <f>1+(0.06/12)</f>
      </c>
      <c r="H74" s="15">
        <f>(H73+F74)*G74</f>
      </c>
      <c r="I74" s="13">
        <v>270</v>
      </c>
      <c r="J74" s="13">
        <f>$T$2</f>
      </c>
      <c r="K74" s="14">
        <f>1+($T$4/12)</f>
      </c>
      <c r="L74" s="15">
        <f>(L73+J74)*K74</f>
      </c>
      <c r="M74" s="13">
        <v>308</v>
      </c>
      <c r="N74" s="13">
        <f>$T$2</f>
      </c>
      <c r="O74" s="14">
        <f>1+($T$4/12)</f>
      </c>
      <c r="P74" s="15">
        <f>(P73+N74)*O74</f>
      </c>
      <c r="Q74" s="16">
        <v>71</v>
      </c>
      <c r="R74" s="17">
        <f>R73+$T$3</f>
      </c>
      <c r="S74" s="5"/>
      <c r="T74" s="2"/>
      <c r="U74" s="5"/>
      <c r="V74" s="5"/>
    </row>
    <row x14ac:dyDescent="0.25" r="75" customHeight="1" ht="18.75">
      <c r="A75" s="13">
        <v>195</v>
      </c>
      <c r="B75" s="13">
        <f>$T$2</f>
      </c>
      <c r="C75" s="14">
        <f>1+($T$4/12)</f>
      </c>
      <c r="D75" s="15">
        <f>(D74+B75)*C75</f>
      </c>
      <c r="E75" s="13">
        <v>233</v>
      </c>
      <c r="F75" s="13">
        <f>$T$2</f>
      </c>
      <c r="G75" s="14">
        <f>1+(0.06/12)</f>
      </c>
      <c r="H75" s="15">
        <f>(H74+F75)*G75</f>
      </c>
      <c r="I75" s="13">
        <v>271</v>
      </c>
      <c r="J75" s="13">
        <f>$T$2</f>
      </c>
      <c r="K75" s="14">
        <f>1+($T$4/12)</f>
      </c>
      <c r="L75" s="15">
        <f>(L74+J75)*K75</f>
      </c>
      <c r="M75" s="13">
        <v>309</v>
      </c>
      <c r="N75" s="13">
        <f>$T$2</f>
      </c>
      <c r="O75" s="14">
        <f>1+($T$4/12)</f>
      </c>
      <c r="P75" s="15">
        <f>(P74+N75)*O75</f>
      </c>
      <c r="Q75" s="16">
        <v>72</v>
      </c>
      <c r="R75" s="17">
        <f>R74+$T$3</f>
      </c>
      <c r="S75" s="5"/>
      <c r="T75" s="2"/>
      <c r="U75" s="5"/>
      <c r="V75" s="5"/>
    </row>
    <row x14ac:dyDescent="0.25" r="76" customHeight="1" ht="18.75">
      <c r="A76" s="13">
        <v>196</v>
      </c>
      <c r="B76" s="13">
        <f>$T$2</f>
      </c>
      <c r="C76" s="14">
        <f>1+($T$4/12)</f>
      </c>
      <c r="D76" s="15">
        <f>(D75+B76)*C76</f>
      </c>
      <c r="E76" s="13">
        <v>234</v>
      </c>
      <c r="F76" s="13">
        <f>$T$2</f>
      </c>
      <c r="G76" s="14">
        <f>1+(0.06/12)</f>
      </c>
      <c r="H76" s="15">
        <f>(H75+F76)*G76</f>
      </c>
      <c r="I76" s="13">
        <v>272</v>
      </c>
      <c r="J76" s="13">
        <f>$T$2</f>
      </c>
      <c r="K76" s="14">
        <f>1+($T$4/12)</f>
      </c>
      <c r="L76" s="15">
        <f>(L75+J76)*K76</f>
      </c>
      <c r="M76" s="13">
        <v>310</v>
      </c>
      <c r="N76" s="13">
        <f>$T$2</f>
      </c>
      <c r="O76" s="14">
        <f>1+($T$4/12)</f>
      </c>
      <c r="P76" s="15">
        <f>(P75+N76)*O76</f>
      </c>
      <c r="Q76" s="16">
        <v>73</v>
      </c>
      <c r="R76" s="17">
        <f>R75+$T$3</f>
      </c>
      <c r="S76" s="5"/>
      <c r="T76" s="2"/>
      <c r="U76" s="5"/>
      <c r="V76" s="5"/>
    </row>
    <row x14ac:dyDescent="0.25" r="77" customHeight="1" ht="18.75">
      <c r="A77" s="13">
        <v>197</v>
      </c>
      <c r="B77" s="13">
        <f>$T$2</f>
      </c>
      <c r="C77" s="14">
        <f>1+($T$4/12)</f>
      </c>
      <c r="D77" s="15">
        <f>(D76+B77)*C77</f>
      </c>
      <c r="E77" s="13">
        <v>235</v>
      </c>
      <c r="F77" s="13">
        <f>$T$2</f>
      </c>
      <c r="G77" s="14">
        <f>1+(0.06/12)</f>
      </c>
      <c r="H77" s="15">
        <f>(H76+F77)*G77</f>
      </c>
      <c r="I77" s="13">
        <v>273</v>
      </c>
      <c r="J77" s="13">
        <f>$T$2</f>
      </c>
      <c r="K77" s="14">
        <f>1+($T$4/12)</f>
      </c>
      <c r="L77" s="15">
        <f>(L76+J77)*K77</f>
      </c>
      <c r="M77" s="13">
        <v>311</v>
      </c>
      <c r="N77" s="13">
        <f>$T$2</f>
      </c>
      <c r="O77" s="14">
        <f>1+($T$4/12)</f>
      </c>
      <c r="P77" s="15">
        <f>(P76+N77)*O77</f>
      </c>
      <c r="Q77" s="16">
        <v>74</v>
      </c>
      <c r="R77" s="17">
        <f>R76+$T$3</f>
      </c>
      <c r="S77" s="5"/>
      <c r="T77" s="2"/>
      <c r="U77" s="5"/>
      <c r="V77" s="5"/>
    </row>
    <row x14ac:dyDescent="0.25" r="78" customHeight="1" ht="18.75">
      <c r="A78" s="13">
        <v>198</v>
      </c>
      <c r="B78" s="13">
        <f>$T$2</f>
      </c>
      <c r="C78" s="14">
        <f>1+($T$4/12)</f>
      </c>
      <c r="D78" s="15">
        <f>(D77+B78)*C78</f>
      </c>
      <c r="E78" s="13">
        <v>236</v>
      </c>
      <c r="F78" s="13">
        <f>$T$2</f>
      </c>
      <c r="G78" s="14">
        <f>1+(0.06/12)</f>
      </c>
      <c r="H78" s="15">
        <f>(H77+F78)*G78</f>
      </c>
      <c r="I78" s="13">
        <v>274</v>
      </c>
      <c r="J78" s="13">
        <f>$T$2</f>
      </c>
      <c r="K78" s="14">
        <f>1+($T$4/12)</f>
      </c>
      <c r="L78" s="15">
        <f>(L77+J78)*K78</f>
      </c>
      <c r="M78" s="13">
        <v>312</v>
      </c>
      <c r="N78" s="13">
        <f>$T$2</f>
      </c>
      <c r="O78" s="14">
        <f>1+($T$4/12)</f>
      </c>
      <c r="P78" s="15">
        <f>(P77+N78)*O78</f>
      </c>
      <c r="Q78" s="16">
        <v>75</v>
      </c>
      <c r="R78" s="17">
        <f>R77+$T$3</f>
      </c>
      <c r="S78" s="5"/>
      <c r="T78" s="2"/>
      <c r="U78" s="5"/>
      <c r="V78" s="5"/>
    </row>
    <row x14ac:dyDescent="0.25" r="79" customHeight="1" ht="18.75">
      <c r="A79" s="13">
        <v>199</v>
      </c>
      <c r="B79" s="13">
        <f>$T$2</f>
      </c>
      <c r="C79" s="14">
        <f>1+($T$4/12)</f>
      </c>
      <c r="D79" s="15">
        <f>(D78+B79)*C79</f>
      </c>
      <c r="E79" s="13">
        <v>237</v>
      </c>
      <c r="F79" s="13">
        <f>$T$2</f>
      </c>
      <c r="G79" s="14">
        <f>1+(0.06/12)</f>
      </c>
      <c r="H79" s="15">
        <f>(H78+F79)*G79</f>
      </c>
      <c r="I79" s="13">
        <v>275</v>
      </c>
      <c r="J79" s="13">
        <f>$T$2</f>
      </c>
      <c r="K79" s="14">
        <f>1+($T$4/12)</f>
      </c>
      <c r="L79" s="15">
        <f>(L78+J79)*K79</f>
      </c>
      <c r="M79" s="13">
        <v>313</v>
      </c>
      <c r="N79" s="13">
        <f>$T$2</f>
      </c>
      <c r="O79" s="14">
        <f>1+($T$4/12)</f>
      </c>
      <c r="P79" s="15">
        <f>(P78+N79)*O79</f>
      </c>
      <c r="Q79" s="16">
        <v>76</v>
      </c>
      <c r="R79" s="17">
        <f>R78+$T$3</f>
      </c>
      <c r="S79" s="5"/>
      <c r="T79" s="2"/>
      <c r="U79" s="5"/>
      <c r="V79" s="5"/>
    </row>
    <row x14ac:dyDescent="0.25" r="80" customHeight="1" ht="18.75">
      <c r="A80" s="13">
        <v>200</v>
      </c>
      <c r="B80" s="13">
        <f>$T$2</f>
      </c>
      <c r="C80" s="14">
        <f>1+($T$4/12)</f>
      </c>
      <c r="D80" s="15">
        <f>(D79+B80)*C80</f>
      </c>
      <c r="E80" s="13">
        <v>238</v>
      </c>
      <c r="F80" s="13">
        <f>$T$2</f>
      </c>
      <c r="G80" s="14">
        <f>1+(0.06/12)</f>
      </c>
      <c r="H80" s="15">
        <f>(H79+F80)*G80</f>
      </c>
      <c r="I80" s="13">
        <v>276</v>
      </c>
      <c r="J80" s="13">
        <f>$T$2</f>
      </c>
      <c r="K80" s="14">
        <f>1+($T$4/12)</f>
      </c>
      <c r="L80" s="15">
        <f>(L79+J80)*K80</f>
      </c>
      <c r="M80" s="13">
        <v>314</v>
      </c>
      <c r="N80" s="13">
        <f>$T$2</f>
      </c>
      <c r="O80" s="14">
        <f>1+($T$4/12)</f>
      </c>
      <c r="P80" s="15">
        <f>(P79+N80)*O80</f>
      </c>
      <c r="Q80" s="16">
        <v>77</v>
      </c>
      <c r="R80" s="17">
        <f>R79+$T$3</f>
      </c>
      <c r="S80" s="5"/>
      <c r="T80" s="2"/>
      <c r="U80" s="5"/>
      <c r="V80" s="5"/>
    </row>
    <row x14ac:dyDescent="0.25" r="81" customHeight="1" ht="18.75">
      <c r="A81" s="13">
        <v>201</v>
      </c>
      <c r="B81" s="13">
        <f>$T$2</f>
      </c>
      <c r="C81" s="14">
        <f>1+($T$4/12)</f>
      </c>
      <c r="D81" s="15">
        <f>(D80+B81)*C81</f>
      </c>
      <c r="E81" s="13">
        <v>239</v>
      </c>
      <c r="F81" s="13">
        <f>$T$2</f>
      </c>
      <c r="G81" s="14">
        <f>1+(0.06/12)</f>
      </c>
      <c r="H81" s="15">
        <f>(H80+F81)*G81</f>
      </c>
      <c r="I81" s="13">
        <v>277</v>
      </c>
      <c r="J81" s="13">
        <f>$T$2</f>
      </c>
      <c r="K81" s="14">
        <f>1+($T$4/12)</f>
      </c>
      <c r="L81" s="15">
        <f>(L80+J81)*K81</f>
      </c>
      <c r="M81" s="13">
        <v>315</v>
      </c>
      <c r="N81" s="13">
        <f>$T$2</f>
      </c>
      <c r="O81" s="14">
        <f>1+($T$4/12)</f>
      </c>
      <c r="P81" s="15">
        <f>(P80+N81)*O81</f>
      </c>
      <c r="Q81" s="16">
        <v>78</v>
      </c>
      <c r="R81" s="17">
        <f>R80+$T$3</f>
      </c>
      <c r="S81" s="5"/>
      <c r="T81" s="2"/>
      <c r="U81" s="5"/>
      <c r="V81" s="5"/>
    </row>
    <row x14ac:dyDescent="0.25" r="82" customHeight="1" ht="18.75">
      <c r="A82" s="13">
        <v>202</v>
      </c>
      <c r="B82" s="13">
        <f>$T$2</f>
      </c>
      <c r="C82" s="14">
        <f>1+($T$4/12)</f>
      </c>
      <c r="D82" s="15">
        <f>(D81+B82)*C82</f>
      </c>
      <c r="E82" s="13">
        <v>240</v>
      </c>
      <c r="F82" s="13">
        <f>$T$2</f>
      </c>
      <c r="G82" s="14">
        <f>1+(0.06/12)</f>
      </c>
      <c r="H82" s="15">
        <f>(H81+F82)*G82</f>
      </c>
      <c r="I82" s="13">
        <v>278</v>
      </c>
      <c r="J82" s="13">
        <f>$T$2</f>
      </c>
      <c r="K82" s="14">
        <f>1+($T$4/12)</f>
      </c>
      <c r="L82" s="15">
        <f>(L81+J82)*K82</f>
      </c>
      <c r="M82" s="13">
        <v>316</v>
      </c>
      <c r="N82" s="13">
        <f>$T$2</f>
      </c>
      <c r="O82" s="14">
        <f>1+($T$4/12)</f>
      </c>
      <c r="P82" s="15">
        <f>(P81+N82)*O82</f>
      </c>
      <c r="Q82" s="16">
        <v>79</v>
      </c>
      <c r="R82" s="17">
        <f>R81+$T$3</f>
      </c>
      <c r="S82" s="5"/>
      <c r="T82" s="2"/>
      <c r="U82" s="5"/>
      <c r="V82" s="5"/>
    </row>
    <row x14ac:dyDescent="0.25" r="83" customHeight="1" ht="18.75">
      <c r="A83" s="29"/>
      <c r="B83" s="1"/>
      <c r="C83" s="2"/>
      <c r="D83" s="30"/>
      <c r="E83" s="1"/>
      <c r="F83" s="1"/>
      <c r="G83" s="2"/>
      <c r="H83" s="3"/>
      <c r="I83" s="1"/>
      <c r="J83" s="1"/>
      <c r="K83" s="2"/>
      <c r="L83" s="3"/>
      <c r="M83" s="1"/>
      <c r="N83" s="1"/>
      <c r="O83" s="2"/>
      <c r="P83" s="3"/>
      <c r="Q83" s="4"/>
      <c r="R83" s="30"/>
      <c r="S83" s="5"/>
      <c r="T83" s="2"/>
      <c r="U83" s="5"/>
      <c r="V83" s="5"/>
    </row>
    <row x14ac:dyDescent="0.25" r="84" customHeight="1" ht="18.75">
      <c r="A84" s="29"/>
      <c r="B84" s="1"/>
      <c r="C84" s="2"/>
      <c r="D84" s="30"/>
      <c r="E84" s="1"/>
      <c r="F84" s="1"/>
      <c r="G84" s="2"/>
      <c r="H84" s="3"/>
      <c r="I84" s="1"/>
      <c r="J84" s="1"/>
      <c r="K84" s="2"/>
      <c r="L84" s="3"/>
      <c r="M84" s="1"/>
      <c r="N84" s="1"/>
      <c r="O84" s="2"/>
      <c r="P84" s="3"/>
      <c r="Q84" s="4"/>
      <c r="R84" s="30"/>
      <c r="S84" s="5"/>
      <c r="T84" s="2"/>
      <c r="U84" s="5"/>
      <c r="V84" s="5"/>
    </row>
    <row x14ac:dyDescent="0.25" r="85" customHeight="1" ht="18.75">
      <c r="A85" s="29"/>
      <c r="B85" s="1"/>
      <c r="C85" s="2"/>
      <c r="D85" s="30"/>
      <c r="E85" s="1"/>
      <c r="F85" s="1"/>
      <c r="G85" s="2"/>
      <c r="H85" s="3"/>
      <c r="I85" s="1"/>
      <c r="J85" s="1"/>
      <c r="K85" s="2"/>
      <c r="L85" s="3"/>
      <c r="M85" s="1"/>
      <c r="N85" s="1"/>
      <c r="O85" s="2"/>
      <c r="P85" s="3"/>
      <c r="Q85" s="4"/>
      <c r="R85" s="30"/>
      <c r="S85" s="5"/>
      <c r="T85" s="2"/>
      <c r="U85" s="5"/>
      <c r="V85" s="5"/>
    </row>
    <row x14ac:dyDescent="0.25" r="86" customHeight="1" ht="18.75">
      <c r="A86" s="29"/>
      <c r="B86" s="1"/>
      <c r="C86" s="2"/>
      <c r="D86" s="30"/>
      <c r="E86" s="1"/>
      <c r="F86" s="1"/>
      <c r="G86" s="2"/>
      <c r="H86" s="3"/>
      <c r="I86" s="1"/>
      <c r="J86" s="1"/>
      <c r="K86" s="2"/>
      <c r="L86" s="3"/>
      <c r="M86" s="1"/>
      <c r="N86" s="1"/>
      <c r="O86" s="2"/>
      <c r="P86" s="3"/>
      <c r="Q86" s="4"/>
      <c r="R86" s="30"/>
      <c r="S86" s="5"/>
      <c r="T86" s="2"/>
      <c r="U86" s="5"/>
      <c r="V86" s="5"/>
    </row>
    <row x14ac:dyDescent="0.25" r="87" customHeight="1" ht="18.75">
      <c r="A87" s="29"/>
      <c r="B87" s="1"/>
      <c r="C87" s="2"/>
      <c r="D87" s="30"/>
      <c r="E87" s="1"/>
      <c r="F87" s="1"/>
      <c r="G87" s="2"/>
      <c r="H87" s="3"/>
      <c r="I87" s="1"/>
      <c r="J87" s="1"/>
      <c r="K87" s="2"/>
      <c r="L87" s="3"/>
      <c r="M87" s="1"/>
      <c r="N87" s="1"/>
      <c r="O87" s="2"/>
      <c r="P87" s="3"/>
      <c r="Q87" s="4"/>
      <c r="R87" s="30"/>
      <c r="S87" s="5"/>
      <c r="T87" s="2"/>
      <c r="U87" s="5"/>
      <c r="V87" s="5"/>
    </row>
    <row x14ac:dyDescent="0.25" r="88" customHeight="1" ht="18.75">
      <c r="A88" s="29"/>
      <c r="B88" s="1"/>
      <c r="C88" s="2"/>
      <c r="D88" s="30"/>
      <c r="E88" s="1"/>
      <c r="F88" s="1"/>
      <c r="G88" s="2"/>
      <c r="H88" s="3"/>
      <c r="I88" s="1"/>
      <c r="J88" s="1"/>
      <c r="K88" s="2"/>
      <c r="L88" s="3"/>
      <c r="M88" s="1"/>
      <c r="N88" s="1"/>
      <c r="O88" s="2"/>
      <c r="P88" s="3"/>
      <c r="Q88" s="4"/>
      <c r="R88" s="30"/>
      <c r="S88" s="5"/>
      <c r="T88" s="2"/>
      <c r="U88" s="5"/>
      <c r="V88" s="5"/>
    </row>
    <row x14ac:dyDescent="0.25" r="89" customHeight="1" ht="18.75">
      <c r="A89" s="29"/>
      <c r="B89" s="1"/>
      <c r="C89" s="2"/>
      <c r="D89" s="30"/>
      <c r="E89" s="1"/>
      <c r="F89" s="1"/>
      <c r="G89" s="2"/>
      <c r="H89" s="3"/>
      <c r="I89" s="1"/>
      <c r="J89" s="1"/>
      <c r="K89" s="2"/>
      <c r="L89" s="3"/>
      <c r="M89" s="1"/>
      <c r="N89" s="1"/>
      <c r="O89" s="2"/>
      <c r="P89" s="3"/>
      <c r="Q89" s="4"/>
      <c r="R89" s="30"/>
      <c r="S89" s="5"/>
      <c r="T89" s="2"/>
      <c r="U89" s="5"/>
      <c r="V89" s="5"/>
    </row>
    <row x14ac:dyDescent="0.25" r="90" customHeight="1" ht="18.75">
      <c r="A90" s="29"/>
      <c r="B90" s="1"/>
      <c r="C90" s="2"/>
      <c r="D90" s="30"/>
      <c r="E90" s="1"/>
      <c r="F90" s="1"/>
      <c r="G90" s="2"/>
      <c r="H90" s="3"/>
      <c r="I90" s="1"/>
      <c r="J90" s="1"/>
      <c r="K90" s="2"/>
      <c r="L90" s="3"/>
      <c r="M90" s="1"/>
      <c r="N90" s="1"/>
      <c r="O90" s="2"/>
      <c r="P90" s="3"/>
      <c r="Q90" s="4"/>
      <c r="R90" s="30"/>
      <c r="S90" s="5"/>
      <c r="T90" s="2"/>
      <c r="U90" s="5"/>
      <c r="V90" s="5"/>
    </row>
    <row x14ac:dyDescent="0.25" r="91" customHeight="1" ht="18.75">
      <c r="A91" s="29"/>
      <c r="B91" s="1"/>
      <c r="C91" s="2"/>
      <c r="D91" s="30"/>
      <c r="E91" s="1"/>
      <c r="F91" s="1"/>
      <c r="G91" s="2"/>
      <c r="H91" s="3"/>
      <c r="I91" s="1"/>
      <c r="J91" s="1"/>
      <c r="K91" s="2"/>
      <c r="L91" s="3"/>
      <c r="M91" s="1"/>
      <c r="N91" s="1"/>
      <c r="O91" s="2"/>
      <c r="P91" s="3"/>
      <c r="Q91" s="4"/>
      <c r="R91" s="30"/>
      <c r="S91" s="5"/>
      <c r="T91" s="2"/>
      <c r="U91" s="5"/>
      <c r="V91" s="5"/>
    </row>
    <row x14ac:dyDescent="0.25" r="92" customHeight="1" ht="18.75">
      <c r="A92" s="29"/>
      <c r="B92" s="1"/>
      <c r="C92" s="2"/>
      <c r="D92" s="30"/>
      <c r="E92" s="1"/>
      <c r="F92" s="1"/>
      <c r="G92" s="2"/>
      <c r="H92" s="3"/>
      <c r="I92" s="1"/>
      <c r="J92" s="1"/>
      <c r="K92" s="2"/>
      <c r="L92" s="3"/>
      <c r="M92" s="1"/>
      <c r="N92" s="1"/>
      <c r="O92" s="2"/>
      <c r="P92" s="3"/>
      <c r="Q92" s="4"/>
      <c r="R92" s="30"/>
      <c r="S92" s="5"/>
      <c r="T92" s="2"/>
      <c r="U92" s="5"/>
      <c r="V92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Presentation</vt:lpstr>
      <vt:lpstr>Prem v Self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2026-05-15T02:32:53.717Z</dcterms:created>
  <dcterms:modified xsi:type="dcterms:W3CDTF">2026-05-15T02:32:53.717Z</dcterms:modified>
</cp:coreProperties>
</file>